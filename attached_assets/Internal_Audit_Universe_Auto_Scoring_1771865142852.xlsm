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puts" sheetId="1" r:id="rId4"/>
    <sheet state="visible" name="Audit Universe" sheetId="2" r:id="rId5"/>
    <sheet state="visible" name="Summary" sheetId="3" r:id="rId6"/>
    <sheet state="visible" name="How to Use" sheetId="4" r:id="rId7"/>
  </sheets>
  <definedNames/>
  <calcPr/>
  <extLst>
    <ext uri="GoogleSheetsCustomDataVersion2">
      <go:sheetsCustomData xmlns:go="http://customooxmlschemas.google.com/" r:id="rId8" roundtripDataChecksum="4nUtV7jgZwo7e3Glyozb+bkkrZ0E9RAFyOXNyqcflPs="/>
    </ext>
  </extLst>
</workbook>
</file>

<file path=xl/sharedStrings.xml><?xml version="1.0" encoding="utf-8"?>
<sst xmlns="http://schemas.openxmlformats.org/spreadsheetml/2006/main" count="295" uniqueCount="246">
  <si>
    <t>Internal Audit Universe — Auto-Scoring Model (Inputs)</t>
  </si>
  <si>
    <t>Scoring method</t>
  </si>
  <si>
    <t>Weighted</t>
  </si>
  <si>
    <t>Severity thresholds (score bands)</t>
  </si>
  <si>
    <t>Band</t>
  </si>
  <si>
    <t>Max score</t>
  </si>
  <si>
    <t>Immaterial max</t>
  </si>
  <si>
    <t>Low max</t>
  </si>
  <si>
    <t>Moderate max</t>
  </si>
  <si>
    <t>High max</t>
  </si>
  <si>
    <t>Risk factor weights (used when Scoring method = Weighted)</t>
  </si>
  <si>
    <t>Risk Factor</t>
  </si>
  <si>
    <t>Weight</t>
  </si>
  <si>
    <t>Notes</t>
  </si>
  <si>
    <t>Financial Impact</t>
  </si>
  <si>
    <t>Materiality, P&amp;L exposure</t>
  </si>
  <si>
    <t>Regulatory / Compliance</t>
  </si>
  <si>
    <t>Regulatory obligations, sanctions</t>
  </si>
  <si>
    <t>Control Environment</t>
  </si>
  <si>
    <t>Control design &amp; operating effectiveness</t>
  </si>
  <si>
    <t>Change / Transformation</t>
  </si>
  <si>
    <t>New systems/process/org change</t>
  </si>
  <si>
    <t>Data &amp; Technology</t>
  </si>
  <si>
    <t>System reliance, cyber/data integrity</t>
  </si>
  <si>
    <t>Fraud / Inherent Risk</t>
  </si>
  <si>
    <t>Susceptibility to fraud/misconduct</t>
  </si>
  <si>
    <t>Operational Complexity</t>
  </si>
  <si>
    <t>Volume, complexity, dependencies</t>
  </si>
  <si>
    <t>Reputation Risk</t>
  </si>
  <si>
    <t>Customer/brand/stakeholder impact</t>
  </si>
  <si>
    <t>Tip: Blue text cells are intended for user input.</t>
  </si>
  <si>
    <t>Audit Universe — Risk Scoring (enter 1–5 in blue cells)</t>
  </si>
  <si>
    <t>Category</t>
  </si>
  <si>
    <t>Sub-Category</t>
  </si>
  <si>
    <t>Auditable Unit</t>
  </si>
  <si>
    <t>Process / Scope</t>
  </si>
  <si>
    <t>Key Systems / Data</t>
  </si>
  <si>
    <t>Key Regulations / Standards</t>
  </si>
  <si>
    <t>Owner (Role)</t>
  </si>
  <si>
    <t>Last Audited (date)</t>
  </si>
  <si>
    <t>Financial</t>
  </si>
  <si>
    <t>Regulatory</t>
  </si>
  <si>
    <t>Operational</t>
  </si>
  <si>
    <t>Change</t>
  </si>
  <si>
    <t>Control Env</t>
  </si>
  <si>
    <t>Fraud</t>
  </si>
  <si>
    <t>Data/Tech</t>
  </si>
  <si>
    <t>Reputation</t>
  </si>
  <si>
    <t>Average Score</t>
  </si>
  <si>
    <t>Weighted Score</t>
  </si>
  <si>
    <t>Selected Score</t>
  </si>
  <si>
    <t>Severity</t>
  </si>
  <si>
    <t>Suggested Frequency (yrs)</t>
  </si>
  <si>
    <t>Financial Risk</t>
  </si>
  <si>
    <t>Market Risk</t>
  </si>
  <si>
    <t>Market Risk Management</t>
  </si>
  <si>
    <t>Identify/measure/monitor market risk; limits, stress testing, model governance</t>
  </si>
  <si>
    <t>Risk engine, market data feeds, pricing systems</t>
  </si>
  <si>
    <t>Basel market risk (FRTB/ES), SR 11-7 (model risk), SEC/CFTC (if applicable)</t>
  </si>
  <si>
    <t>Head of Market Risk</t>
  </si>
  <si>
    <t/>
  </si>
  <si>
    <t>Credit Risk</t>
  </si>
  <si>
    <t>Credit Risk Management</t>
  </si>
  <si>
    <t>Credit policy, underwriting, portfolio monitoring, provisioning, limit mgmt</t>
  </si>
  <si>
    <t>Credit systems, rating models, data warehouses</t>
  </si>
  <si>
    <t>Basel credit risk, CECL/IFRS9 (if applicable), SR 11-7 (models)</t>
  </si>
  <si>
    <t>Chief Credit Officer</t>
  </si>
  <si>
    <t>Liquidity &amp; Capital</t>
  </si>
  <si>
    <t>Liquidity Risk Management</t>
  </si>
  <si>
    <t>Liquidity stress testing, contingency funding plan, liquidity monitoring</t>
  </si>
  <si>
    <t>ALM system, liquidity dashboards</t>
  </si>
  <si>
    <t>Basel LCR/NSFR (if applicable), regulatory liquidity guidance</t>
  </si>
  <si>
    <t>Treasury Risk Lead</t>
  </si>
  <si>
    <t>Capital Management</t>
  </si>
  <si>
    <t>Capital planning, ICAAP/CCAR-style activities, adequacy monitoring</t>
  </si>
  <si>
    <t>Capital models, finance reporting</t>
  </si>
  <si>
    <t>Basel capital rules (if applicable), supervisory guidance</t>
  </si>
  <si>
    <t>Head of Capital Mgmt</t>
  </si>
  <si>
    <t>Finance</t>
  </si>
  <si>
    <t>Treasury</t>
  </si>
  <si>
    <t>Treasury Operations</t>
  </si>
  <si>
    <t>Cash management, funding, debt, investment operations, confirmations</t>
  </si>
  <si>
    <t>TMS, banking portals, GL</t>
  </si>
  <si>
    <t>SOX (if applicable), internal treasury policies</t>
  </si>
  <si>
    <t>Treasurer</t>
  </si>
  <si>
    <t>Operations</t>
  </si>
  <si>
    <t>P2P</t>
  </si>
  <si>
    <t>Procurement</t>
  </si>
  <si>
    <t>Vendor onboarding, sourcing, contracting, purchasing controls</t>
  </si>
  <si>
    <t>ERP procurement module, vendor master</t>
  </si>
  <si>
    <t>SOX (if applicable), anti-bribery/UKBA/FCPA (as applicable)</t>
  </si>
  <si>
    <t>Head of Procurement</t>
  </si>
  <si>
    <t>Accounts Payable</t>
  </si>
  <si>
    <t>Invoice processing, approvals, payments, duplicate payment controls</t>
  </si>
  <si>
    <t>ERP AP, payment platforms</t>
  </si>
  <si>
    <t>SOX (if applicable), payment security controls</t>
  </si>
  <si>
    <t>AP Manager</t>
  </si>
  <si>
    <t>O2C</t>
  </si>
  <si>
    <t>Accounts Receivable</t>
  </si>
  <si>
    <t>Billing, collections, credit memos, revenue leakage controls</t>
  </si>
  <si>
    <t>ERP AR, billing tools</t>
  </si>
  <si>
    <t>SOX (if applicable), revenue policies</t>
  </si>
  <si>
    <t>AR Manager</t>
  </si>
  <si>
    <t>H2R</t>
  </si>
  <si>
    <t>Payroll</t>
  </si>
  <si>
    <t>Payroll processing, access controls, approvals, reconciliations</t>
  </si>
  <si>
    <t>HRIS, payroll system</t>
  </si>
  <si>
    <t>Tax/regulatory payroll requirements, SOX (if applicable)</t>
  </si>
  <si>
    <t>Payroll Lead</t>
  </si>
  <si>
    <t>Supply Chain</t>
  </si>
  <si>
    <t>Supply Chain &amp; Logistics</t>
  </si>
  <si>
    <t>Demand planning, inventory, warehousing, shipping, continuity</t>
  </si>
  <si>
    <t>ERP SCM, WMS/TMS</t>
  </si>
  <si>
    <t>Trade compliance (as applicable), safety regulations</t>
  </si>
  <si>
    <t>Supply Chain Director</t>
  </si>
  <si>
    <t>Technology</t>
  </si>
  <si>
    <t>Cyber</t>
  </si>
  <si>
    <t>Cybersecurity Program</t>
  </si>
  <si>
    <t>Security governance, incident response, vulnerability mgmt, monitoring</t>
  </si>
  <si>
    <t>SIEM, EDR, IAM, ticketing</t>
  </si>
  <si>
    <t>NIST/ISO 27001 (as applicable), sector regs, privacy obligations</t>
  </si>
  <si>
    <t>CISO</t>
  </si>
  <si>
    <t>IT Controls</t>
  </si>
  <si>
    <t>IT General Controls (ITGCs)</t>
  </si>
  <si>
    <t>Change management, access, operations, backups, SDLC controls</t>
  </si>
  <si>
    <t>ITSM, IAM, CI/CD, infra platforms</t>
  </si>
  <si>
    <t>SOX ITGC (if applicable), security frameworks</t>
  </si>
  <si>
    <t>IT Controls Owner</t>
  </si>
  <si>
    <t>Data</t>
  </si>
  <si>
    <t>Data Governance</t>
  </si>
  <si>
    <t>Data ownership, lineage, quality controls, retention</t>
  </si>
  <si>
    <t>Data lake/warehouse, MDM, BI tools</t>
  </si>
  <si>
    <t>GDPR/CCPA (as applicable), data retention regs</t>
  </si>
  <si>
    <t>Chief Data Officer</t>
  </si>
  <si>
    <t>Projects</t>
  </si>
  <si>
    <t>System Implementations / Change</t>
  </si>
  <si>
    <t>Major projects, migrations, ERP/CRM rollouts, cutover controls</t>
  </si>
  <si>
    <t>PMO tools, target systems</t>
  </si>
  <si>
    <t>Change governance, SOX (if applicable)</t>
  </si>
  <si>
    <t>PMO Lead</t>
  </si>
  <si>
    <t>IAM</t>
  </si>
  <si>
    <t>Access Management (IAM)</t>
  </si>
  <si>
    <t>Joiner/mover/leaver, privileged access, periodic access reviews</t>
  </si>
  <si>
    <t>IAM/PAM, HRIS integration</t>
  </si>
  <si>
    <t>SOX logical access (if applicable), security frameworks</t>
  </si>
  <si>
    <t>IAM Manager</t>
  </si>
  <si>
    <t>Compliance</t>
  </si>
  <si>
    <t>Regulatory Compliance</t>
  </si>
  <si>
    <t>Policy management, regulatory change, monitoring &amp; testing</t>
  </si>
  <si>
    <t>GRC tool, policy repository</t>
  </si>
  <si>
    <t>Applicable regulator rules; compliance management standards</t>
  </si>
  <si>
    <t>Chief Compliance Officer</t>
  </si>
  <si>
    <t>Financial Crime</t>
  </si>
  <si>
    <t>AML / Sanctions</t>
  </si>
  <si>
    <t>KYC, transaction monitoring, suspicious activity reporting, sanctions screening</t>
  </si>
  <si>
    <t>AML platforms, case mgmt</t>
  </si>
  <si>
    <t>BSA/AML, OFAC/sanctions regs (as applicable)</t>
  </si>
  <si>
    <t>MLRO / AML Officer</t>
  </si>
  <si>
    <t>Privacy</t>
  </si>
  <si>
    <t>Privacy &amp; Data Protection</t>
  </si>
  <si>
    <t>Privacy program, DPIAs, DSARs, vendor privacy controls</t>
  </si>
  <si>
    <t>Privacy tooling, ticketing</t>
  </si>
  <si>
    <t>GDPR/CCPA and local privacy laws (as applicable)</t>
  </si>
  <si>
    <t>Privacy Officer</t>
  </si>
  <si>
    <t>TPRM</t>
  </si>
  <si>
    <t>Third-Party Risk Management</t>
  </si>
  <si>
    <t>Vendor due diligence, SOC review, ongoing monitoring, concentration risk</t>
  </si>
  <si>
    <t>TPRM platform, vendor inventory</t>
  </si>
  <si>
    <t>Outsourcing guidance, privacy &amp; security vendor rules</t>
  </si>
  <si>
    <t>TPRM Lead</t>
  </si>
  <si>
    <t>Governance</t>
  </si>
  <si>
    <t>ERM</t>
  </si>
  <si>
    <t>Enterprise Risk Management (ERM)</t>
  </si>
  <si>
    <t>Risk taxonomy, appetite, enterprise reporting, risk committees</t>
  </si>
  <si>
    <t>GRC, risk registers</t>
  </si>
  <si>
    <t>COSO ERM (best practice), regulator expectations (as applicable)</t>
  </si>
  <si>
    <t>Chief Risk Officer</t>
  </si>
  <si>
    <t>Corporate</t>
  </si>
  <si>
    <t>Corporate Governance</t>
  </si>
  <si>
    <t>Board governance, charters, conflicts, ethics hotline oversight</t>
  </si>
  <si>
    <t>Board portal, compliance hotline</t>
  </si>
  <si>
    <t>Corporate governance codes; SOX (if applicable)</t>
  </si>
  <si>
    <t>Corporate Secretary</t>
  </si>
  <si>
    <t>Strategy</t>
  </si>
  <si>
    <t>Strategic Planning &amp; Execution</t>
  </si>
  <si>
    <t>Strategy development, KPIs, investment governance, tracking</t>
  </si>
  <si>
    <t>Planning tools, OKR systems</t>
  </si>
  <si>
    <t>N/A (policy-driven); disclosure rules (as applicable)</t>
  </si>
  <si>
    <t>Strategy Lead</t>
  </si>
  <si>
    <t>ESG</t>
  </si>
  <si>
    <t>ESG / Sustainability Reporting</t>
  </si>
  <si>
    <t>ESG data collection, disclosures, controls over reporting</t>
  </si>
  <si>
    <t>ESG reporting tools, BI</t>
  </si>
  <si>
    <t>Applicable ESG disclosure rules/standards (as applicable)</t>
  </si>
  <si>
    <t>ESG Program Lead</t>
  </si>
  <si>
    <t>Reporting</t>
  </si>
  <si>
    <t>Financial Close &amp; Reporting</t>
  </si>
  <si>
    <t>Period close, reconciliations, journal controls, disclosures</t>
  </si>
  <si>
    <t>ERP GL, consolidation tool</t>
  </si>
  <si>
    <t>SOX (if applicable), GAAP/IFRS, disclosure requirements</t>
  </si>
  <si>
    <t>Controller</t>
  </si>
  <si>
    <t>Revenue</t>
  </si>
  <si>
    <t>Order Mgmt</t>
  </si>
  <si>
    <t>Revenue Recognition / Billing</t>
  </si>
  <si>
    <t>Contract review, billing accuracy, rev rec policies &amp; estimates</t>
  </si>
  <si>
    <t>ERP, billing/CPQ, CRM</t>
  </si>
  <si>
    <t>ASC 606/IFRS 15 (as applicable), SOX (if applicable)</t>
  </si>
  <si>
    <t>Revenue Accounting Lead</t>
  </si>
  <si>
    <t>HR</t>
  </si>
  <si>
    <t>People Ops</t>
  </si>
  <si>
    <t>Talent Management &amp; HR Compliance</t>
  </si>
  <si>
    <t>Hiring, performance, terminations, employee relations</t>
  </si>
  <si>
    <t>HRIS, ATS</t>
  </si>
  <si>
    <t>Labor laws, privacy, policy compliance</t>
  </si>
  <si>
    <t>Head of HR</t>
  </si>
  <si>
    <t>Legal</t>
  </si>
  <si>
    <t>Contracts</t>
  </si>
  <si>
    <t>Contract Lifecycle Management</t>
  </si>
  <si>
    <t>Contract drafting, approvals, obligations tracking</t>
  </si>
  <si>
    <t>CLM system, repository</t>
  </si>
  <si>
    <t>Contract/legal requirements, privacy clauses</t>
  </si>
  <si>
    <t>General Counsel / Legal Ops</t>
  </si>
  <si>
    <t>Facilities</t>
  </si>
  <si>
    <t>BCM</t>
  </si>
  <si>
    <t>Business Continuity &amp; Disaster Recovery</t>
  </si>
  <si>
    <t>BCP/DR plans, testing, crisis mgmt, resiliency</t>
  </si>
  <si>
    <t>DR tooling, runbooks</t>
  </si>
  <si>
    <t>Sector resiliency rules (as applicable), ISO 22301 (optional)</t>
  </si>
  <si>
    <t>BCM Manager</t>
  </si>
  <si>
    <t>Audit Universe — Summary</t>
  </si>
  <si>
    <t>Scoring method (from Inputs):</t>
  </si>
  <si>
    <t>Count</t>
  </si>
  <si>
    <t>Percent</t>
  </si>
  <si>
    <t>Severe</t>
  </si>
  <si>
    <t>High</t>
  </si>
  <si>
    <t>Moderate</t>
  </si>
  <si>
    <t>Low</t>
  </si>
  <si>
    <t>Immaterial</t>
  </si>
  <si>
    <t>Total Units</t>
  </si>
  <si>
    <t>How to Use This Model</t>
  </si>
  <si>
    <t>1) Go to the 'Audit Universe' sheet and update each auditable unit’s metadata as needed.</t>
  </si>
  <si>
    <t>2) Enter risk factor scores (1–5) in the blue cells (Financial through Reputation).</t>
  </si>
  <si>
    <t>3) Choose the scoring method in 'Inputs'!B3: 'Weighted' or 'Average'.</t>
  </si>
  <si>
    <t>4) The model automatically calculates Average Score, Weighted Score, Selected Score, Severity, and Suggested Frequency.</t>
  </si>
  <si>
    <t>5) Adjust severity thresholds and weights on the 'Inputs' sheet to match your internal methodology.</t>
  </si>
  <si>
    <t>6) Review the 'Summary' sheet for distribution and high-level reporting.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</si>
</sst>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"/>
    <numFmt numFmtId="165" formatCode="0.0%"/>
  </numFmts>
  <fonts count="9">
    <font>
      <sz val="11.0"/>
      <color theme="1"/>
      <name val="Calibri"/>
      <scheme val="minor"/>
    </font>
    <font>
      <b/>
      <sz val="16.0"/>
      <color theme="1"/>
      <name val="Calibri"/>
      <scheme val="minor"/>
    </font>
    <font>
      <b/>
      <color theme="1"/>
      <name val="Calibri"/>
      <scheme val="minor"/>
    </font>
    <font>
      <color rgb="FF0000FF"/>
      <name val="Calibri"/>
      <scheme val="minor"/>
    </font>
    <font/>
    <font>
      <b/>
      <color rgb="FFFFFFFF"/>
      <name val="Calibri"/>
      <scheme val="minor"/>
    </font>
    <font>
      <sz val="11.0"/>
      <color theme="1"/>
      <name val="Calibri"/>
    </font>
    <font>
      <i/>
      <color rgb="FF404040"/>
      <name val="Calibri"/>
      <scheme val="minor"/>
    </font>
    <font>
      <color rgb="FF000000"/>
      <name val="Calibri"/>
      <scheme val="minor"/>
    </font>
  </fonts>
  <fills count="4">
    <fill>
      <patternFill patternType="none"/>
    </fill>
    <fill>
      <patternFill patternType="lightGray"/>
    </fill>
    <fill>
      <patternFill patternType="solid">
        <fgColor rgb="FFD9E1F2"/>
        <bgColor rgb="FFD9E1F2"/>
      </patternFill>
    </fill>
    <fill>
      <patternFill patternType="solid">
        <fgColor rgb="FF1F4E79"/>
        <bgColor rgb="FF1F4E79"/>
      </patternFill>
    </fill>
  </fills>
  <borders count="5">
    <border/>
    <border>
      <left/>
      <top/>
      <bottom/>
    </border>
    <border>
      <top/>
      <bottom/>
    </border>
    <border>
      <right/>
      <top/>
      <bottom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Font="1"/>
    <xf borderId="1" fillId="2" fontId="2" numFmtId="0" xfId="0" applyBorder="1" applyFill="1" applyFont="1"/>
    <xf borderId="2" fillId="0" fontId="4" numFmtId="0" xfId="0" applyBorder="1" applyFont="1"/>
    <xf borderId="3" fillId="0" fontId="4" numFmtId="0" xfId="0" applyBorder="1" applyFont="1"/>
    <xf borderId="4" fillId="3" fontId="5" numFmtId="0" xfId="0" applyAlignment="1" applyBorder="1" applyFill="1" applyFont="1">
      <alignment horizontal="center" shrinkToFit="0" vertical="center" wrapText="1"/>
    </xf>
    <xf borderId="4" fillId="0" fontId="6" numFmtId="0" xfId="0" applyAlignment="1" applyBorder="1" applyFont="1">
      <alignment horizontal="left" shrinkToFit="0" vertical="top" wrapText="1"/>
    </xf>
    <xf borderId="4" fillId="0" fontId="3" numFmtId="0" xfId="0" applyAlignment="1" applyBorder="1" applyFont="1">
      <alignment horizontal="center" shrinkToFit="0" vertical="center" wrapText="1"/>
    </xf>
    <xf borderId="4" fillId="0" fontId="3" numFmtId="9" xfId="0" applyAlignment="1" applyBorder="1" applyFont="1" applyNumberFormat="1">
      <alignment horizontal="center" shrinkToFit="0" vertical="center" wrapText="1"/>
    </xf>
    <xf borderId="0" fillId="0" fontId="7" numFmtId="0" xfId="0" applyFont="1"/>
    <xf borderId="4" fillId="0" fontId="3" numFmtId="0" xfId="0" applyAlignment="1" applyBorder="1" applyFont="1">
      <alignment horizontal="left" shrinkToFit="0" vertical="top" wrapText="1"/>
    </xf>
    <xf borderId="4" fillId="0" fontId="8" numFmtId="2" xfId="0" applyAlignment="1" applyBorder="1" applyFont="1" applyNumberFormat="1">
      <alignment horizontal="center" shrinkToFit="0" vertical="center" wrapText="1"/>
    </xf>
    <xf borderId="4" fillId="0" fontId="8" numFmtId="0" xfId="0" applyAlignment="1" applyBorder="1" applyFont="1">
      <alignment horizontal="center" shrinkToFit="0" vertical="center" wrapText="1"/>
    </xf>
    <xf borderId="4" fillId="0" fontId="8" numFmtId="164" xfId="0" applyAlignment="1" applyBorder="1" applyFont="1" applyNumberFormat="1">
      <alignment horizontal="center" shrinkToFit="0" vertical="center" wrapText="1"/>
    </xf>
    <xf borderId="4" fillId="0" fontId="6" numFmtId="0" xfId="0" applyAlignment="1" applyBorder="1" applyFont="1">
      <alignment horizontal="center" shrinkToFit="0" vertical="center" wrapText="1"/>
    </xf>
    <xf borderId="4" fillId="0" fontId="6" numFmtId="165" xfId="0" applyAlignment="1" applyBorder="1" applyFont="1" applyNumberFormat="1">
      <alignment horizontal="center" shrinkToFit="0" vertical="center" wrapText="1"/>
    </xf>
    <xf borderId="0" fillId="0" fontId="6" numFmtId="0" xfId="0" applyAlignment="1" applyFont="1">
      <alignment horizontal="left" shrinkToFit="0" vertical="top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Units by Severity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None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Summary!$A$6:$A$10</c:f>
            </c:strRef>
          </c:cat>
          <c:val>
            <c:numRef>
              <c:f>Summary!$B$6:$B$10</c:f>
              <c:numCache/>
            </c:numRef>
          </c:val>
        </c:ser>
        <c:axId val="397221150"/>
        <c:axId val="1206573945"/>
      </c:barChart>
      <c:catAx>
        <c:axId val="39722115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206573945"/>
      </c:catAx>
      <c:valAx>
        <c:axId val="120657394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397221150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0</xdr:colOff>
      <xdr:row>4</xdr:row>
      <xdr:rowOff>0</xdr:rowOff>
    </xdr:from>
    <xdr:ext cx="0" cy="1200150"/>
    <xdr:graphicFrame>
      <xdr:nvGraphicFramePr>
        <xdr:cNvPr id="34826387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8.0"/>
    <col customWidth="1" min="2" max="2" width="14.0"/>
    <col customWidth="1" min="3" max="3" width="48.0"/>
    <col customWidth="1" min="4" max="6" width="14.0"/>
    <col customWidth="1" min="7" max="26" width="8.71"/>
  </cols>
  <sheetData>
    <row r="1">
      <c r="A1" s="1" t="s">
        <v>0</v>
      </c>
    </row>
    <row r="3">
      <c r="A3" s="2" t="s">
        <v>1</v>
      </c>
      <c r="B3" s="3" t="s">
        <v>2</v>
      </c>
    </row>
    <row r="5">
      <c r="A5" s="4" t="s">
        <v>3</v>
      </c>
      <c r="B5" s="5"/>
      <c r="C5" s="5"/>
      <c r="D5" s="5"/>
      <c r="E5" s="5"/>
      <c r="F5" s="6"/>
    </row>
    <row r="6">
      <c r="A6" s="7" t="s">
        <v>4</v>
      </c>
      <c r="B6" s="7" t="s">
        <v>5</v>
      </c>
    </row>
    <row r="7">
      <c r="A7" s="8" t="s">
        <v>6</v>
      </c>
      <c r="B7" s="9">
        <v>1.5</v>
      </c>
    </row>
    <row r="8">
      <c r="A8" s="8" t="s">
        <v>7</v>
      </c>
      <c r="B8" s="9">
        <v>2.5</v>
      </c>
    </row>
    <row r="9">
      <c r="A9" s="8" t="s">
        <v>8</v>
      </c>
      <c r="B9" s="9">
        <v>3.5</v>
      </c>
    </row>
    <row r="10">
      <c r="A10" s="8" t="s">
        <v>9</v>
      </c>
      <c r="B10" s="9">
        <v>4.5</v>
      </c>
    </row>
    <row r="12">
      <c r="A12" s="4" t="s">
        <v>10</v>
      </c>
      <c r="B12" s="5"/>
      <c r="C12" s="5"/>
      <c r="D12" s="5"/>
      <c r="E12" s="5"/>
      <c r="F12" s="6"/>
    </row>
    <row r="13">
      <c r="A13" s="7" t="s">
        <v>11</v>
      </c>
      <c r="B13" s="7" t="s">
        <v>12</v>
      </c>
      <c r="C13" s="7" t="s">
        <v>13</v>
      </c>
    </row>
    <row r="14">
      <c r="A14" s="8" t="s">
        <v>14</v>
      </c>
      <c r="B14" s="10">
        <v>0.25</v>
      </c>
      <c r="C14" s="8" t="s">
        <v>15</v>
      </c>
    </row>
    <row r="15">
      <c r="A15" s="8" t="s">
        <v>16</v>
      </c>
      <c r="B15" s="10">
        <v>0.2</v>
      </c>
      <c r="C15" s="8" t="s">
        <v>17</v>
      </c>
    </row>
    <row r="16">
      <c r="A16" s="8" t="s">
        <v>18</v>
      </c>
      <c r="B16" s="10">
        <v>0.15</v>
      </c>
      <c r="C16" s="8" t="s">
        <v>19</v>
      </c>
    </row>
    <row r="17">
      <c r="A17" s="8" t="s">
        <v>20</v>
      </c>
      <c r="B17" s="10">
        <v>0.1</v>
      </c>
      <c r="C17" s="8" t="s">
        <v>21</v>
      </c>
    </row>
    <row r="18">
      <c r="A18" s="8" t="s">
        <v>22</v>
      </c>
      <c r="B18" s="10">
        <v>0.1</v>
      </c>
      <c r="C18" s="8" t="s">
        <v>23</v>
      </c>
    </row>
    <row r="19">
      <c r="A19" s="8" t="s">
        <v>24</v>
      </c>
      <c r="B19" s="10">
        <v>0.1</v>
      </c>
      <c r="C19" s="8" t="s">
        <v>25</v>
      </c>
    </row>
    <row r="20">
      <c r="A20" s="8" t="s">
        <v>26</v>
      </c>
      <c r="B20" s="10">
        <v>0.05</v>
      </c>
      <c r="C20" s="8" t="s">
        <v>27</v>
      </c>
    </row>
    <row r="21" ht="15.75" customHeight="1">
      <c r="A21" s="8" t="s">
        <v>28</v>
      </c>
      <c r="B21" s="10">
        <v>0.05</v>
      </c>
      <c r="C21" s="8" t="s">
        <v>29</v>
      </c>
    </row>
    <row r="22" ht="15.75" customHeight="1"/>
    <row r="23" ht="15.75" customHeight="1">
      <c r="A23" s="11" t="s">
        <v>30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F1"/>
    <mergeCell ref="A5:F5"/>
    <mergeCell ref="A12:F12"/>
    <mergeCell ref="A23:F2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6.0"/>
    <col customWidth="1" min="2" max="2" width="18.0"/>
    <col customWidth="1" min="3" max="3" width="28.0"/>
    <col customWidth="1" min="4" max="4" width="36.0"/>
    <col customWidth="1" min="5" max="5" width="24.0"/>
    <col customWidth="1" min="6" max="6" width="30.0"/>
    <col customWidth="1" min="7" max="7" width="18.0"/>
    <col customWidth="1" min="8" max="8" width="16.0"/>
    <col customWidth="1" min="9" max="12" width="10.0"/>
    <col customWidth="1" min="13" max="13" width="12.0"/>
    <col customWidth="1" min="14" max="15" width="10.0"/>
    <col customWidth="1" min="16" max="16" width="12.0"/>
    <col customWidth="1" min="17" max="19" width="13.0"/>
    <col customWidth="1" min="20" max="20" width="12.0"/>
    <col customWidth="1" min="21" max="21" width="20.0"/>
    <col customWidth="1" min="22" max="26" width="8.71"/>
  </cols>
  <sheetData>
    <row r="1">
      <c r="A1" s="1" t="s">
        <v>31</v>
      </c>
    </row>
    <row r="3" ht="33.75" customHeight="1">
      <c r="A3" s="7" t="s">
        <v>32</v>
      </c>
      <c r="B3" s="7" t="s">
        <v>33</v>
      </c>
      <c r="C3" s="7" t="s">
        <v>34</v>
      </c>
      <c r="D3" s="7" t="s">
        <v>35</v>
      </c>
      <c r="E3" s="7" t="s">
        <v>36</v>
      </c>
      <c r="F3" s="7" t="s">
        <v>37</v>
      </c>
      <c r="G3" s="7" t="s">
        <v>38</v>
      </c>
      <c r="H3" s="7" t="s">
        <v>39</v>
      </c>
      <c r="I3" s="7" t="s">
        <v>40</v>
      </c>
      <c r="J3" s="7" t="s">
        <v>41</v>
      </c>
      <c r="K3" s="7" t="s">
        <v>42</v>
      </c>
      <c r="L3" s="7" t="s">
        <v>43</v>
      </c>
      <c r="M3" s="7" t="s">
        <v>44</v>
      </c>
      <c r="N3" s="7" t="s">
        <v>45</v>
      </c>
      <c r="O3" s="7" t="s">
        <v>46</v>
      </c>
      <c r="P3" s="7" t="s">
        <v>47</v>
      </c>
      <c r="Q3" s="7" t="s">
        <v>48</v>
      </c>
      <c r="R3" s="7" t="s">
        <v>49</v>
      </c>
      <c r="S3" s="7" t="s">
        <v>50</v>
      </c>
      <c r="T3" s="7" t="s">
        <v>51</v>
      </c>
      <c r="U3" s="7" t="s">
        <v>52</v>
      </c>
    </row>
    <row r="4" ht="54.0" customHeight="1">
      <c r="A4" s="8" t="s">
        <v>53</v>
      </c>
      <c r="B4" s="8" t="s">
        <v>54</v>
      </c>
      <c r="C4" s="8" t="s">
        <v>55</v>
      </c>
      <c r="D4" s="8" t="s">
        <v>56</v>
      </c>
      <c r="E4" s="8" t="s">
        <v>57</v>
      </c>
      <c r="F4" s="8" t="s">
        <v>58</v>
      </c>
      <c r="G4" s="12" t="s">
        <v>59</v>
      </c>
      <c r="H4" s="12" t="s">
        <v>60</v>
      </c>
      <c r="I4" s="9">
        <v>5.0</v>
      </c>
      <c r="J4" s="9">
        <v>5.0</v>
      </c>
      <c r="K4" s="9">
        <v>4.0</v>
      </c>
      <c r="L4" s="9">
        <v>4.0</v>
      </c>
      <c r="M4" s="9">
        <v>3.0</v>
      </c>
      <c r="N4" s="9">
        <v>2.0</v>
      </c>
      <c r="O4" s="9">
        <v>5.0</v>
      </c>
      <c r="P4" s="9">
        <v>4.0</v>
      </c>
      <c r="Q4" s="13">
        <f t="shared" ref="Q4:Q31" si="1">IF(COUNT(I4:P4)=0,"",AVERAGE(I4:P4))</f>
        <v>4</v>
      </c>
      <c r="R4" s="13">
        <f>IF(COUNT(I4:P4)=0,"",(I4*Inputs!$B$14 + J4*Inputs!$B$15 + M4*Inputs!$B$16 + L4*Inputs!$B$17 + O4*Inputs!$B$18 + N4*Inputs!$B$19 + K4*Inputs!$B$20 + P4*Inputs!$B$21))</f>
        <v>4.2</v>
      </c>
      <c r="S4" s="13">
        <f>IF(Inputs!$B$3="Weighted",R4,Q4)</f>
        <v>4.2</v>
      </c>
      <c r="T4" s="14" t="str">
        <f>IF(S4="","",IF(S4&lt;=Inputs!$B$7,"Immaterial",IF(S4&lt;=Inputs!$B$8,"Low",IF(S4&lt;=Inputs!$B$9,"Moderate",IF(S4&lt;=Inputs!$B$10,"High","Severe")))))</f>
        <v>High</v>
      </c>
      <c r="U4" s="15">
        <f t="shared" ref="U4:U31" si="2">IF(T4="","",IF(T4="Severe",1,IF(T4="High",1,IF(T4="Moderate",2.5,IF(T4="Low",4,0)))))</f>
        <v>1</v>
      </c>
    </row>
    <row r="5" ht="54.0" customHeight="1">
      <c r="A5" s="8" t="s">
        <v>53</v>
      </c>
      <c r="B5" s="8" t="s">
        <v>61</v>
      </c>
      <c r="C5" s="8" t="s">
        <v>62</v>
      </c>
      <c r="D5" s="8" t="s">
        <v>63</v>
      </c>
      <c r="E5" s="8" t="s">
        <v>64</v>
      </c>
      <c r="F5" s="8" t="s">
        <v>65</v>
      </c>
      <c r="G5" s="12" t="s">
        <v>66</v>
      </c>
      <c r="H5" s="12" t="s">
        <v>60</v>
      </c>
      <c r="I5" s="9">
        <v>5.0</v>
      </c>
      <c r="J5" s="9">
        <v>5.0</v>
      </c>
      <c r="K5" s="9">
        <v>4.0</v>
      </c>
      <c r="L5" s="9">
        <v>3.0</v>
      </c>
      <c r="M5" s="9">
        <v>3.0</v>
      </c>
      <c r="N5" s="9">
        <v>3.0</v>
      </c>
      <c r="O5" s="9">
        <v>4.0</v>
      </c>
      <c r="P5" s="9">
        <v>4.0</v>
      </c>
      <c r="Q5" s="13">
        <f t="shared" si="1"/>
        <v>3.875</v>
      </c>
      <c r="R5" s="13">
        <f>IF(COUNT(I5:P5)=0,"",(I5*Inputs!$B$14 + J5*Inputs!$B$15 + M5*Inputs!$B$16 + L5*Inputs!$B$17 + O5*Inputs!$B$18 + N5*Inputs!$B$19 + K5*Inputs!$B$20 + P5*Inputs!$B$21))</f>
        <v>4.1</v>
      </c>
      <c r="S5" s="13">
        <f>IF(Inputs!$B$3="Weighted",R5,Q5)</f>
        <v>4.1</v>
      </c>
      <c r="T5" s="14" t="str">
        <f>IF(S5="","",IF(S5&lt;=Inputs!$B$7,"Immaterial",IF(S5&lt;=Inputs!$B$8,"Low",IF(S5&lt;=Inputs!$B$9,"Moderate",IF(S5&lt;=Inputs!$B$10,"High","Severe")))))</f>
        <v>High</v>
      </c>
      <c r="U5" s="15">
        <f t="shared" si="2"/>
        <v>1</v>
      </c>
    </row>
    <row r="6" ht="54.0" customHeight="1">
      <c r="A6" s="8" t="s">
        <v>53</v>
      </c>
      <c r="B6" s="8" t="s">
        <v>67</v>
      </c>
      <c r="C6" s="8" t="s">
        <v>68</v>
      </c>
      <c r="D6" s="8" t="s">
        <v>69</v>
      </c>
      <c r="E6" s="8" t="s">
        <v>70</v>
      </c>
      <c r="F6" s="8" t="s">
        <v>71</v>
      </c>
      <c r="G6" s="12" t="s">
        <v>72</v>
      </c>
      <c r="H6" s="12" t="s">
        <v>60</v>
      </c>
      <c r="I6" s="9">
        <v>5.0</v>
      </c>
      <c r="J6" s="9">
        <v>5.0</v>
      </c>
      <c r="K6" s="9">
        <v>3.0</v>
      </c>
      <c r="L6" s="9">
        <v>3.0</v>
      </c>
      <c r="M6" s="9">
        <v>3.0</v>
      </c>
      <c r="N6" s="9">
        <v>2.0</v>
      </c>
      <c r="O6" s="9">
        <v>4.0</v>
      </c>
      <c r="P6" s="9">
        <v>5.0</v>
      </c>
      <c r="Q6" s="13">
        <f t="shared" si="1"/>
        <v>3.75</v>
      </c>
      <c r="R6" s="13">
        <f>IF(COUNT(I6:P6)=0,"",(I6*Inputs!$B$14 + J6*Inputs!$B$15 + M6*Inputs!$B$16 + L6*Inputs!$B$17 + O6*Inputs!$B$18 + N6*Inputs!$B$19 + K6*Inputs!$B$20 + P6*Inputs!$B$21))</f>
        <v>4</v>
      </c>
      <c r="S6" s="13">
        <f>IF(Inputs!$B$3="Weighted",R6,Q6)</f>
        <v>4</v>
      </c>
      <c r="T6" s="14" t="str">
        <f>IF(S6="","",IF(S6&lt;=Inputs!$B$7,"Immaterial",IF(S6&lt;=Inputs!$B$8,"Low",IF(S6&lt;=Inputs!$B$9,"Moderate",IF(S6&lt;=Inputs!$B$10,"High","Severe")))))</f>
        <v>High</v>
      </c>
      <c r="U6" s="15">
        <f t="shared" si="2"/>
        <v>1</v>
      </c>
    </row>
    <row r="7" ht="54.0" customHeight="1">
      <c r="A7" s="8" t="s">
        <v>53</v>
      </c>
      <c r="B7" s="8" t="s">
        <v>67</v>
      </c>
      <c r="C7" s="8" t="s">
        <v>73</v>
      </c>
      <c r="D7" s="8" t="s">
        <v>74</v>
      </c>
      <c r="E7" s="8" t="s">
        <v>75</v>
      </c>
      <c r="F7" s="8" t="s">
        <v>76</v>
      </c>
      <c r="G7" s="12" t="s">
        <v>77</v>
      </c>
      <c r="H7" s="12" t="s">
        <v>60</v>
      </c>
      <c r="I7" s="9">
        <v>5.0</v>
      </c>
      <c r="J7" s="9">
        <v>5.0</v>
      </c>
      <c r="K7" s="9">
        <v>3.0</v>
      </c>
      <c r="L7" s="9">
        <v>3.0</v>
      </c>
      <c r="M7" s="9">
        <v>3.0</v>
      </c>
      <c r="N7" s="9">
        <v>2.0</v>
      </c>
      <c r="O7" s="9">
        <v>4.0</v>
      </c>
      <c r="P7" s="9">
        <v>5.0</v>
      </c>
      <c r="Q7" s="13">
        <f t="shared" si="1"/>
        <v>3.75</v>
      </c>
      <c r="R7" s="13">
        <f>IF(COUNT(I7:P7)=0,"",(I7*Inputs!$B$14 + J7*Inputs!$B$15 + M7*Inputs!$B$16 + L7*Inputs!$B$17 + O7*Inputs!$B$18 + N7*Inputs!$B$19 + K7*Inputs!$B$20 + P7*Inputs!$B$21))</f>
        <v>4</v>
      </c>
      <c r="S7" s="13">
        <f>IF(Inputs!$B$3="Weighted",R7,Q7)</f>
        <v>4</v>
      </c>
      <c r="T7" s="14" t="str">
        <f>IF(S7="","",IF(S7&lt;=Inputs!$B$7,"Immaterial",IF(S7&lt;=Inputs!$B$8,"Low",IF(S7&lt;=Inputs!$B$9,"Moderate",IF(S7&lt;=Inputs!$B$10,"High","Severe")))))</f>
        <v>High</v>
      </c>
      <c r="U7" s="15">
        <f t="shared" si="2"/>
        <v>1</v>
      </c>
    </row>
    <row r="8" ht="54.0" customHeight="1">
      <c r="A8" s="8" t="s">
        <v>78</v>
      </c>
      <c r="B8" s="8" t="s">
        <v>79</v>
      </c>
      <c r="C8" s="8" t="s">
        <v>80</v>
      </c>
      <c r="D8" s="8" t="s">
        <v>81</v>
      </c>
      <c r="E8" s="8" t="s">
        <v>82</v>
      </c>
      <c r="F8" s="8" t="s">
        <v>83</v>
      </c>
      <c r="G8" s="12" t="s">
        <v>84</v>
      </c>
      <c r="H8" s="12" t="s">
        <v>60</v>
      </c>
      <c r="I8" s="9">
        <v>4.0</v>
      </c>
      <c r="J8" s="9">
        <v>4.0</v>
      </c>
      <c r="K8" s="9">
        <v>4.0</v>
      </c>
      <c r="L8" s="9">
        <v>3.0</v>
      </c>
      <c r="M8" s="9">
        <v>3.0</v>
      </c>
      <c r="N8" s="9">
        <v>3.0</v>
      </c>
      <c r="O8" s="9">
        <v>4.0</v>
      </c>
      <c r="P8" s="9">
        <v>4.0</v>
      </c>
      <c r="Q8" s="13">
        <f t="shared" si="1"/>
        <v>3.625</v>
      </c>
      <c r="R8" s="13">
        <f>IF(COUNT(I8:P8)=0,"",(I8*Inputs!$B$14 + J8*Inputs!$B$15 + M8*Inputs!$B$16 + L8*Inputs!$B$17 + O8*Inputs!$B$18 + N8*Inputs!$B$19 + K8*Inputs!$B$20 + P8*Inputs!$B$21))</f>
        <v>3.65</v>
      </c>
      <c r="S8" s="13">
        <f>IF(Inputs!$B$3="Weighted",R8,Q8)</f>
        <v>3.65</v>
      </c>
      <c r="T8" s="14" t="str">
        <f>IF(S8="","",IF(S8&lt;=Inputs!$B$7,"Immaterial",IF(S8&lt;=Inputs!$B$8,"Low",IF(S8&lt;=Inputs!$B$9,"Moderate",IF(S8&lt;=Inputs!$B$10,"High","Severe")))))</f>
        <v>High</v>
      </c>
      <c r="U8" s="15">
        <f t="shared" si="2"/>
        <v>1</v>
      </c>
    </row>
    <row r="9" ht="54.0" customHeight="1">
      <c r="A9" s="8" t="s">
        <v>85</v>
      </c>
      <c r="B9" s="8" t="s">
        <v>86</v>
      </c>
      <c r="C9" s="8" t="s">
        <v>87</v>
      </c>
      <c r="D9" s="8" t="s">
        <v>88</v>
      </c>
      <c r="E9" s="8" t="s">
        <v>89</v>
      </c>
      <c r="F9" s="8" t="s">
        <v>90</v>
      </c>
      <c r="G9" s="12" t="s">
        <v>91</v>
      </c>
      <c r="H9" s="12" t="s">
        <v>60</v>
      </c>
      <c r="I9" s="9">
        <v>4.0</v>
      </c>
      <c r="J9" s="9">
        <v>3.0</v>
      </c>
      <c r="K9" s="9">
        <v>3.0</v>
      </c>
      <c r="L9" s="9">
        <v>4.0</v>
      </c>
      <c r="M9" s="9">
        <v>2.0</v>
      </c>
      <c r="N9" s="9">
        <v>5.0</v>
      </c>
      <c r="O9" s="9">
        <v>3.0</v>
      </c>
      <c r="P9" s="9">
        <v>3.0</v>
      </c>
      <c r="Q9" s="13">
        <f t="shared" si="1"/>
        <v>3.375</v>
      </c>
      <c r="R9" s="13">
        <f>IF(COUNT(I9:P9)=0,"",(I9*Inputs!$B$14 + J9*Inputs!$B$15 + M9*Inputs!$B$16 + L9*Inputs!$B$17 + O9*Inputs!$B$18 + N9*Inputs!$B$19 + K9*Inputs!$B$20 + P9*Inputs!$B$21))</f>
        <v>3.4</v>
      </c>
      <c r="S9" s="13">
        <f>IF(Inputs!$B$3="Weighted",R9,Q9)</f>
        <v>3.4</v>
      </c>
      <c r="T9" s="14" t="str">
        <f>IF(S9="","",IF(S9&lt;=Inputs!$B$7,"Immaterial",IF(S9&lt;=Inputs!$B$8,"Low",IF(S9&lt;=Inputs!$B$9,"Moderate",IF(S9&lt;=Inputs!$B$10,"High","Severe")))))</f>
        <v>Moderate</v>
      </c>
      <c r="U9" s="15">
        <f t="shared" si="2"/>
        <v>2.5</v>
      </c>
    </row>
    <row r="10" ht="54.0" customHeight="1">
      <c r="A10" s="8" t="s">
        <v>85</v>
      </c>
      <c r="B10" s="8" t="s">
        <v>86</v>
      </c>
      <c r="C10" s="8" t="s">
        <v>92</v>
      </c>
      <c r="D10" s="8" t="s">
        <v>93</v>
      </c>
      <c r="E10" s="8" t="s">
        <v>94</v>
      </c>
      <c r="F10" s="8" t="s">
        <v>95</v>
      </c>
      <c r="G10" s="12" t="s">
        <v>96</v>
      </c>
      <c r="H10" s="12" t="s">
        <v>60</v>
      </c>
      <c r="I10" s="9">
        <v>4.0</v>
      </c>
      <c r="J10" s="9">
        <v>3.0</v>
      </c>
      <c r="K10" s="9">
        <v>3.0</v>
      </c>
      <c r="L10" s="9">
        <v>2.0</v>
      </c>
      <c r="M10" s="9">
        <v>3.0</v>
      </c>
      <c r="N10" s="9">
        <v>5.0</v>
      </c>
      <c r="O10" s="9">
        <v>3.0</v>
      </c>
      <c r="P10" s="9">
        <v>3.0</v>
      </c>
      <c r="Q10" s="13">
        <f t="shared" si="1"/>
        <v>3.25</v>
      </c>
      <c r="R10" s="13">
        <f>IF(COUNT(I10:P10)=0,"",(I10*Inputs!$B$14 + J10*Inputs!$B$15 + M10*Inputs!$B$16 + L10*Inputs!$B$17 + O10*Inputs!$B$18 + N10*Inputs!$B$19 + K10*Inputs!$B$20 + P10*Inputs!$B$21))</f>
        <v>3.35</v>
      </c>
      <c r="S10" s="13">
        <f>IF(Inputs!$B$3="Weighted",R10,Q10)</f>
        <v>3.35</v>
      </c>
      <c r="T10" s="14" t="str">
        <f>IF(S10="","",IF(S10&lt;=Inputs!$B$7,"Immaterial",IF(S10&lt;=Inputs!$B$8,"Low",IF(S10&lt;=Inputs!$B$9,"Moderate",IF(S10&lt;=Inputs!$B$10,"High","Severe")))))</f>
        <v>Moderate</v>
      </c>
      <c r="U10" s="15">
        <f t="shared" si="2"/>
        <v>2.5</v>
      </c>
    </row>
    <row r="11" ht="54.0" customHeight="1">
      <c r="A11" s="8" t="s">
        <v>85</v>
      </c>
      <c r="B11" s="8" t="s">
        <v>97</v>
      </c>
      <c r="C11" s="8" t="s">
        <v>98</v>
      </c>
      <c r="D11" s="8" t="s">
        <v>99</v>
      </c>
      <c r="E11" s="8" t="s">
        <v>100</v>
      </c>
      <c r="F11" s="8" t="s">
        <v>101</v>
      </c>
      <c r="G11" s="12" t="s">
        <v>102</v>
      </c>
      <c r="H11" s="12" t="s">
        <v>60</v>
      </c>
      <c r="I11" s="9">
        <v>4.0</v>
      </c>
      <c r="J11" s="9">
        <v>3.0</v>
      </c>
      <c r="K11" s="9">
        <v>3.0</v>
      </c>
      <c r="L11" s="9">
        <v>2.0</v>
      </c>
      <c r="M11" s="9">
        <v>3.0</v>
      </c>
      <c r="N11" s="9">
        <v>4.0</v>
      </c>
      <c r="O11" s="9">
        <v>3.0</v>
      </c>
      <c r="P11" s="9">
        <v>3.0</v>
      </c>
      <c r="Q11" s="13">
        <f t="shared" si="1"/>
        <v>3.125</v>
      </c>
      <c r="R11" s="13">
        <f>IF(COUNT(I11:P11)=0,"",(I11*Inputs!$B$14 + J11*Inputs!$B$15 + M11*Inputs!$B$16 + L11*Inputs!$B$17 + O11*Inputs!$B$18 + N11*Inputs!$B$19 + K11*Inputs!$B$20 + P11*Inputs!$B$21))</f>
        <v>3.25</v>
      </c>
      <c r="S11" s="13">
        <f>IF(Inputs!$B$3="Weighted",R11,Q11)</f>
        <v>3.25</v>
      </c>
      <c r="T11" s="14" t="str">
        <f>IF(S11="","",IF(S11&lt;=Inputs!$B$7,"Immaterial",IF(S11&lt;=Inputs!$B$8,"Low",IF(S11&lt;=Inputs!$B$9,"Moderate",IF(S11&lt;=Inputs!$B$10,"High","Severe")))))</f>
        <v>Moderate</v>
      </c>
      <c r="U11" s="15">
        <f t="shared" si="2"/>
        <v>2.5</v>
      </c>
    </row>
    <row r="12" ht="54.0" customHeight="1">
      <c r="A12" s="8" t="s">
        <v>85</v>
      </c>
      <c r="B12" s="8" t="s">
        <v>103</v>
      </c>
      <c r="C12" s="8" t="s">
        <v>104</v>
      </c>
      <c r="D12" s="8" t="s">
        <v>105</v>
      </c>
      <c r="E12" s="8" t="s">
        <v>106</v>
      </c>
      <c r="F12" s="8" t="s">
        <v>107</v>
      </c>
      <c r="G12" s="12" t="s">
        <v>108</v>
      </c>
      <c r="H12" s="12" t="s">
        <v>60</v>
      </c>
      <c r="I12" s="9">
        <v>4.0</v>
      </c>
      <c r="J12" s="9">
        <v>4.0</v>
      </c>
      <c r="K12" s="9">
        <v>3.0</v>
      </c>
      <c r="L12" s="9">
        <v>2.0</v>
      </c>
      <c r="M12" s="9">
        <v>3.0</v>
      </c>
      <c r="N12" s="9">
        <v>4.0</v>
      </c>
      <c r="O12" s="9">
        <v>3.0</v>
      </c>
      <c r="P12" s="9">
        <v>4.0</v>
      </c>
      <c r="Q12" s="13">
        <f t="shared" si="1"/>
        <v>3.375</v>
      </c>
      <c r="R12" s="13">
        <f>IF(COUNT(I12:P12)=0,"",(I12*Inputs!$B$14 + J12*Inputs!$B$15 + M12*Inputs!$B$16 + L12*Inputs!$B$17 + O12*Inputs!$B$18 + N12*Inputs!$B$19 + K12*Inputs!$B$20 + P12*Inputs!$B$21))</f>
        <v>3.5</v>
      </c>
      <c r="S12" s="13">
        <f>IF(Inputs!$B$3="Weighted",R12,Q12)</f>
        <v>3.5</v>
      </c>
      <c r="T12" s="14" t="str">
        <f>IF(S12="","",IF(S12&lt;=Inputs!$B$7,"Immaterial",IF(S12&lt;=Inputs!$B$8,"Low",IF(S12&lt;=Inputs!$B$9,"Moderate",IF(S12&lt;=Inputs!$B$10,"High","Severe")))))</f>
        <v>Moderate</v>
      </c>
      <c r="U12" s="15">
        <f t="shared" si="2"/>
        <v>2.5</v>
      </c>
    </row>
    <row r="13" ht="54.0" customHeight="1">
      <c r="A13" s="8" t="s">
        <v>85</v>
      </c>
      <c r="B13" s="8" t="s">
        <v>109</v>
      </c>
      <c r="C13" s="8" t="s">
        <v>110</v>
      </c>
      <c r="D13" s="8" t="s">
        <v>111</v>
      </c>
      <c r="E13" s="8" t="s">
        <v>112</v>
      </c>
      <c r="F13" s="8" t="s">
        <v>113</v>
      </c>
      <c r="G13" s="12" t="s">
        <v>114</v>
      </c>
      <c r="H13" s="12" t="s">
        <v>60</v>
      </c>
      <c r="I13" s="9">
        <v>4.0</v>
      </c>
      <c r="J13" s="9">
        <v>3.0</v>
      </c>
      <c r="K13" s="9">
        <v>5.0</v>
      </c>
      <c r="L13" s="9">
        <v>4.0</v>
      </c>
      <c r="M13" s="9">
        <v>3.0</v>
      </c>
      <c r="N13" s="9">
        <v>3.0</v>
      </c>
      <c r="O13" s="9">
        <v>3.0</v>
      </c>
      <c r="P13" s="9">
        <v>4.0</v>
      </c>
      <c r="Q13" s="13">
        <f t="shared" si="1"/>
        <v>3.625</v>
      </c>
      <c r="R13" s="13">
        <f>IF(COUNT(I13:P13)=0,"",(I13*Inputs!$B$14 + J13*Inputs!$B$15 + M13*Inputs!$B$16 + L13*Inputs!$B$17 + O13*Inputs!$B$18 + N13*Inputs!$B$19 + K13*Inputs!$B$20 + P13*Inputs!$B$21))</f>
        <v>3.5</v>
      </c>
      <c r="S13" s="13">
        <f>IF(Inputs!$B$3="Weighted",R13,Q13)</f>
        <v>3.5</v>
      </c>
      <c r="T13" s="14" t="str">
        <f>IF(S13="","",IF(S13&lt;=Inputs!$B$7,"Immaterial",IF(S13&lt;=Inputs!$B$8,"Low",IF(S13&lt;=Inputs!$B$9,"Moderate",IF(S13&lt;=Inputs!$B$10,"High","Severe")))))</f>
        <v>Moderate</v>
      </c>
      <c r="U13" s="15">
        <f t="shared" si="2"/>
        <v>2.5</v>
      </c>
    </row>
    <row r="14" ht="54.0" customHeight="1">
      <c r="A14" s="8" t="s">
        <v>115</v>
      </c>
      <c r="B14" s="8" t="s">
        <v>116</v>
      </c>
      <c r="C14" s="8" t="s">
        <v>117</v>
      </c>
      <c r="D14" s="8" t="s">
        <v>118</v>
      </c>
      <c r="E14" s="8" t="s">
        <v>119</v>
      </c>
      <c r="F14" s="8" t="s">
        <v>120</v>
      </c>
      <c r="G14" s="12" t="s">
        <v>121</v>
      </c>
      <c r="H14" s="12" t="s">
        <v>60</v>
      </c>
      <c r="I14" s="9">
        <v>5.0</v>
      </c>
      <c r="J14" s="9">
        <v>5.0</v>
      </c>
      <c r="K14" s="9">
        <v>4.0</v>
      </c>
      <c r="L14" s="9">
        <v>4.0</v>
      </c>
      <c r="M14" s="9">
        <v>3.0</v>
      </c>
      <c r="N14" s="9">
        <v>4.0</v>
      </c>
      <c r="O14" s="9">
        <v>5.0</v>
      </c>
      <c r="P14" s="9">
        <v>5.0</v>
      </c>
      <c r="Q14" s="13">
        <f t="shared" si="1"/>
        <v>4.375</v>
      </c>
      <c r="R14" s="13">
        <f>IF(COUNT(I14:P14)=0,"",(I14*Inputs!$B$14 + J14*Inputs!$B$15 + M14*Inputs!$B$16 + L14*Inputs!$B$17 + O14*Inputs!$B$18 + N14*Inputs!$B$19 + K14*Inputs!$B$20 + P14*Inputs!$B$21))</f>
        <v>4.45</v>
      </c>
      <c r="S14" s="13">
        <f>IF(Inputs!$B$3="Weighted",R14,Q14)</f>
        <v>4.45</v>
      </c>
      <c r="T14" s="14" t="str">
        <f>IF(S14="","",IF(S14&lt;=Inputs!$B$7,"Immaterial",IF(S14&lt;=Inputs!$B$8,"Low",IF(S14&lt;=Inputs!$B$9,"Moderate",IF(S14&lt;=Inputs!$B$10,"High","Severe")))))</f>
        <v>High</v>
      </c>
      <c r="U14" s="15">
        <f t="shared" si="2"/>
        <v>1</v>
      </c>
    </row>
    <row r="15" ht="54.0" customHeight="1">
      <c r="A15" s="8" t="s">
        <v>115</v>
      </c>
      <c r="B15" s="8" t="s">
        <v>122</v>
      </c>
      <c r="C15" s="8" t="s">
        <v>123</v>
      </c>
      <c r="D15" s="8" t="s">
        <v>124</v>
      </c>
      <c r="E15" s="8" t="s">
        <v>125</v>
      </c>
      <c r="F15" s="8" t="s">
        <v>126</v>
      </c>
      <c r="G15" s="12" t="s">
        <v>127</v>
      </c>
      <c r="H15" s="12" t="s">
        <v>60</v>
      </c>
      <c r="I15" s="9">
        <v>4.0</v>
      </c>
      <c r="J15" s="9">
        <v>5.0</v>
      </c>
      <c r="K15" s="9">
        <v>4.0</v>
      </c>
      <c r="L15" s="9">
        <v>3.0</v>
      </c>
      <c r="M15" s="9">
        <v>3.0</v>
      </c>
      <c r="N15" s="9">
        <v>3.0</v>
      </c>
      <c r="O15" s="9">
        <v>5.0</v>
      </c>
      <c r="P15" s="9">
        <v>4.0</v>
      </c>
      <c r="Q15" s="13">
        <f t="shared" si="1"/>
        <v>3.875</v>
      </c>
      <c r="R15" s="13">
        <f>IF(COUNT(I15:P15)=0,"",(I15*Inputs!$B$14 + J15*Inputs!$B$15 + M15*Inputs!$B$16 + L15*Inputs!$B$17 + O15*Inputs!$B$18 + N15*Inputs!$B$19 + K15*Inputs!$B$20 + P15*Inputs!$B$21))</f>
        <v>3.95</v>
      </c>
      <c r="S15" s="13">
        <f>IF(Inputs!$B$3="Weighted",R15,Q15)</f>
        <v>3.95</v>
      </c>
      <c r="T15" s="14" t="str">
        <f>IF(S15="","",IF(S15&lt;=Inputs!$B$7,"Immaterial",IF(S15&lt;=Inputs!$B$8,"Low",IF(S15&lt;=Inputs!$B$9,"Moderate",IF(S15&lt;=Inputs!$B$10,"High","Severe")))))</f>
        <v>High</v>
      </c>
      <c r="U15" s="15">
        <f t="shared" si="2"/>
        <v>1</v>
      </c>
    </row>
    <row r="16" ht="54.0" customHeight="1">
      <c r="A16" s="8" t="s">
        <v>115</v>
      </c>
      <c r="B16" s="8" t="s">
        <v>128</v>
      </c>
      <c r="C16" s="8" t="s">
        <v>129</v>
      </c>
      <c r="D16" s="8" t="s">
        <v>130</v>
      </c>
      <c r="E16" s="8" t="s">
        <v>131</v>
      </c>
      <c r="F16" s="8" t="s">
        <v>132</v>
      </c>
      <c r="G16" s="12" t="s">
        <v>133</v>
      </c>
      <c r="H16" s="12" t="s">
        <v>60</v>
      </c>
      <c r="I16" s="9">
        <v>4.0</v>
      </c>
      <c r="J16" s="9">
        <v>5.0</v>
      </c>
      <c r="K16" s="9">
        <v>4.0</v>
      </c>
      <c r="L16" s="9">
        <v>3.0</v>
      </c>
      <c r="M16" s="9">
        <v>3.0</v>
      </c>
      <c r="N16" s="9">
        <v>3.0</v>
      </c>
      <c r="O16" s="9">
        <v>5.0</v>
      </c>
      <c r="P16" s="9">
        <v>5.0</v>
      </c>
      <c r="Q16" s="13">
        <f t="shared" si="1"/>
        <v>4</v>
      </c>
      <c r="R16" s="13">
        <f>IF(COUNT(I16:P16)=0,"",(I16*Inputs!$B$14 + J16*Inputs!$B$15 + M16*Inputs!$B$16 + L16*Inputs!$B$17 + O16*Inputs!$B$18 + N16*Inputs!$B$19 + K16*Inputs!$B$20 + P16*Inputs!$B$21))</f>
        <v>4</v>
      </c>
      <c r="S16" s="13">
        <f>IF(Inputs!$B$3="Weighted",R16,Q16)</f>
        <v>4</v>
      </c>
      <c r="T16" s="14" t="str">
        <f>IF(S16="","",IF(S16&lt;=Inputs!$B$7,"Immaterial",IF(S16&lt;=Inputs!$B$8,"Low",IF(S16&lt;=Inputs!$B$9,"Moderate",IF(S16&lt;=Inputs!$B$10,"High","Severe")))))</f>
        <v>High</v>
      </c>
      <c r="U16" s="15">
        <f t="shared" si="2"/>
        <v>1</v>
      </c>
    </row>
    <row r="17" ht="54.0" customHeight="1">
      <c r="A17" s="8" t="s">
        <v>115</v>
      </c>
      <c r="B17" s="8" t="s">
        <v>134</v>
      </c>
      <c r="C17" s="8" t="s">
        <v>135</v>
      </c>
      <c r="D17" s="8" t="s">
        <v>136</v>
      </c>
      <c r="E17" s="8" t="s">
        <v>137</v>
      </c>
      <c r="F17" s="8" t="s">
        <v>138</v>
      </c>
      <c r="G17" s="12" t="s">
        <v>139</v>
      </c>
      <c r="H17" s="12" t="s">
        <v>60</v>
      </c>
      <c r="I17" s="9">
        <v>4.0</v>
      </c>
      <c r="J17" s="9">
        <v>4.0</v>
      </c>
      <c r="K17" s="9">
        <v>5.0</v>
      </c>
      <c r="L17" s="9">
        <v>5.0</v>
      </c>
      <c r="M17" s="9">
        <v>3.0</v>
      </c>
      <c r="N17" s="9">
        <v>2.0</v>
      </c>
      <c r="O17" s="9">
        <v>5.0</v>
      </c>
      <c r="P17" s="9">
        <v>4.0</v>
      </c>
      <c r="Q17" s="13">
        <f t="shared" si="1"/>
        <v>4</v>
      </c>
      <c r="R17" s="13">
        <f>IF(COUNT(I17:P17)=0,"",(I17*Inputs!$B$14 + J17*Inputs!$B$15 + M17*Inputs!$B$16 + L17*Inputs!$B$17 + O17*Inputs!$B$18 + N17*Inputs!$B$19 + K17*Inputs!$B$20 + P17*Inputs!$B$21))</f>
        <v>3.9</v>
      </c>
      <c r="S17" s="13">
        <f>IF(Inputs!$B$3="Weighted",R17,Q17)</f>
        <v>3.9</v>
      </c>
      <c r="T17" s="14" t="str">
        <f>IF(S17="","",IF(S17&lt;=Inputs!$B$7,"Immaterial",IF(S17&lt;=Inputs!$B$8,"Low",IF(S17&lt;=Inputs!$B$9,"Moderate",IF(S17&lt;=Inputs!$B$10,"High","Severe")))))</f>
        <v>High</v>
      </c>
      <c r="U17" s="15">
        <f t="shared" si="2"/>
        <v>1</v>
      </c>
    </row>
    <row r="18" ht="54.0" customHeight="1">
      <c r="A18" s="8" t="s">
        <v>115</v>
      </c>
      <c r="B18" s="8" t="s">
        <v>140</v>
      </c>
      <c r="C18" s="8" t="s">
        <v>141</v>
      </c>
      <c r="D18" s="8" t="s">
        <v>142</v>
      </c>
      <c r="E18" s="8" t="s">
        <v>143</v>
      </c>
      <c r="F18" s="8" t="s">
        <v>144</v>
      </c>
      <c r="G18" s="12" t="s">
        <v>145</v>
      </c>
      <c r="H18" s="12" t="s">
        <v>60</v>
      </c>
      <c r="I18" s="9">
        <v>4.0</v>
      </c>
      <c r="J18" s="9">
        <v>5.0</v>
      </c>
      <c r="K18" s="9">
        <v>4.0</v>
      </c>
      <c r="L18" s="9">
        <v>3.0</v>
      </c>
      <c r="M18" s="9">
        <v>2.0</v>
      </c>
      <c r="N18" s="9">
        <v>4.0</v>
      </c>
      <c r="O18" s="9">
        <v>5.0</v>
      </c>
      <c r="P18" s="9">
        <v>5.0</v>
      </c>
      <c r="Q18" s="13">
        <f t="shared" si="1"/>
        <v>4</v>
      </c>
      <c r="R18" s="13">
        <f>IF(COUNT(I18:P18)=0,"",(I18*Inputs!$B$14 + J18*Inputs!$B$15 + M18*Inputs!$B$16 + L18*Inputs!$B$17 + O18*Inputs!$B$18 + N18*Inputs!$B$19 + K18*Inputs!$B$20 + P18*Inputs!$B$21))</f>
        <v>3.95</v>
      </c>
      <c r="S18" s="13">
        <f>IF(Inputs!$B$3="Weighted",R18,Q18)</f>
        <v>3.95</v>
      </c>
      <c r="T18" s="14" t="str">
        <f>IF(S18="","",IF(S18&lt;=Inputs!$B$7,"Immaterial",IF(S18&lt;=Inputs!$B$8,"Low",IF(S18&lt;=Inputs!$B$9,"Moderate",IF(S18&lt;=Inputs!$B$10,"High","Severe")))))</f>
        <v>High</v>
      </c>
      <c r="U18" s="15">
        <f t="shared" si="2"/>
        <v>1</v>
      </c>
    </row>
    <row r="19" ht="54.0" customHeight="1">
      <c r="A19" s="8" t="s">
        <v>146</v>
      </c>
      <c r="B19" s="8" t="s">
        <v>41</v>
      </c>
      <c r="C19" s="8" t="s">
        <v>147</v>
      </c>
      <c r="D19" s="8" t="s">
        <v>148</v>
      </c>
      <c r="E19" s="8" t="s">
        <v>149</v>
      </c>
      <c r="F19" s="8" t="s">
        <v>150</v>
      </c>
      <c r="G19" s="12" t="s">
        <v>151</v>
      </c>
      <c r="H19" s="12" t="s">
        <v>60</v>
      </c>
      <c r="I19" s="9">
        <v>5.0</v>
      </c>
      <c r="J19" s="9">
        <v>5.0</v>
      </c>
      <c r="K19" s="9">
        <v>3.0</v>
      </c>
      <c r="L19" s="9">
        <v>4.0</v>
      </c>
      <c r="M19" s="9">
        <v>3.0</v>
      </c>
      <c r="N19" s="9">
        <v>2.0</v>
      </c>
      <c r="O19" s="9">
        <v>3.0</v>
      </c>
      <c r="P19" s="9">
        <v>5.0</v>
      </c>
      <c r="Q19" s="13">
        <f t="shared" si="1"/>
        <v>3.75</v>
      </c>
      <c r="R19" s="13">
        <f>IF(COUNT(I19:P19)=0,"",(I19*Inputs!$B$14 + J19*Inputs!$B$15 + M19*Inputs!$B$16 + L19*Inputs!$B$17 + O19*Inputs!$B$18 + N19*Inputs!$B$19 + K19*Inputs!$B$20 + P19*Inputs!$B$21))</f>
        <v>4</v>
      </c>
      <c r="S19" s="13">
        <f>IF(Inputs!$B$3="Weighted",R19,Q19)</f>
        <v>4</v>
      </c>
      <c r="T19" s="14" t="str">
        <f>IF(S19="","",IF(S19&lt;=Inputs!$B$7,"Immaterial",IF(S19&lt;=Inputs!$B$8,"Low",IF(S19&lt;=Inputs!$B$9,"Moderate",IF(S19&lt;=Inputs!$B$10,"High","Severe")))))</f>
        <v>High</v>
      </c>
      <c r="U19" s="15">
        <f t="shared" si="2"/>
        <v>1</v>
      </c>
    </row>
    <row r="20" ht="54.0" customHeight="1">
      <c r="A20" s="8" t="s">
        <v>146</v>
      </c>
      <c r="B20" s="8" t="s">
        <v>152</v>
      </c>
      <c r="C20" s="8" t="s">
        <v>153</v>
      </c>
      <c r="D20" s="8" t="s">
        <v>154</v>
      </c>
      <c r="E20" s="8" t="s">
        <v>155</v>
      </c>
      <c r="F20" s="8" t="s">
        <v>156</v>
      </c>
      <c r="G20" s="12" t="s">
        <v>157</v>
      </c>
      <c r="H20" s="12" t="s">
        <v>60</v>
      </c>
      <c r="I20" s="9">
        <v>5.0</v>
      </c>
      <c r="J20" s="9">
        <v>5.0</v>
      </c>
      <c r="K20" s="9">
        <v>4.0</v>
      </c>
      <c r="L20" s="9">
        <v>4.0</v>
      </c>
      <c r="M20" s="9">
        <v>3.0</v>
      </c>
      <c r="N20" s="9">
        <v>5.0</v>
      </c>
      <c r="O20" s="9">
        <v>4.0</v>
      </c>
      <c r="P20" s="9">
        <v>5.0</v>
      </c>
      <c r="Q20" s="13">
        <f t="shared" si="1"/>
        <v>4.375</v>
      </c>
      <c r="R20" s="13">
        <f>IF(COUNT(I20:P20)=0,"",(I20*Inputs!$B$14 + J20*Inputs!$B$15 + M20*Inputs!$B$16 + L20*Inputs!$B$17 + O20*Inputs!$B$18 + N20*Inputs!$B$19 + K20*Inputs!$B$20 + P20*Inputs!$B$21))</f>
        <v>4.45</v>
      </c>
      <c r="S20" s="13">
        <f>IF(Inputs!$B$3="Weighted",R20,Q20)</f>
        <v>4.45</v>
      </c>
      <c r="T20" s="14" t="str">
        <f>IF(S20="","",IF(S20&lt;=Inputs!$B$7,"Immaterial",IF(S20&lt;=Inputs!$B$8,"Low",IF(S20&lt;=Inputs!$B$9,"Moderate",IF(S20&lt;=Inputs!$B$10,"High","Severe")))))</f>
        <v>High</v>
      </c>
      <c r="U20" s="15">
        <f t="shared" si="2"/>
        <v>1</v>
      </c>
    </row>
    <row r="21" ht="54.0" customHeight="1">
      <c r="A21" s="8" t="s">
        <v>146</v>
      </c>
      <c r="B21" s="8" t="s">
        <v>158</v>
      </c>
      <c r="C21" s="8" t="s">
        <v>159</v>
      </c>
      <c r="D21" s="8" t="s">
        <v>160</v>
      </c>
      <c r="E21" s="8" t="s">
        <v>161</v>
      </c>
      <c r="F21" s="8" t="s">
        <v>162</v>
      </c>
      <c r="G21" s="12" t="s">
        <v>163</v>
      </c>
      <c r="H21" s="12" t="s">
        <v>60</v>
      </c>
      <c r="I21" s="9">
        <v>4.0</v>
      </c>
      <c r="J21" s="9">
        <v>5.0</v>
      </c>
      <c r="K21" s="9">
        <v>4.0</v>
      </c>
      <c r="L21" s="9">
        <v>3.0</v>
      </c>
      <c r="M21" s="9">
        <v>3.0</v>
      </c>
      <c r="N21" s="9">
        <v>3.0</v>
      </c>
      <c r="O21" s="9">
        <v>5.0</v>
      </c>
      <c r="P21" s="9">
        <v>5.0</v>
      </c>
      <c r="Q21" s="13">
        <f t="shared" si="1"/>
        <v>4</v>
      </c>
      <c r="R21" s="13">
        <f>IF(COUNT(I21:P21)=0,"",(I21*Inputs!$B$14 + J21*Inputs!$B$15 + M21*Inputs!$B$16 + L21*Inputs!$B$17 + O21*Inputs!$B$18 + N21*Inputs!$B$19 + K21*Inputs!$B$20 + P21*Inputs!$B$21))</f>
        <v>4</v>
      </c>
      <c r="S21" s="13">
        <f>IF(Inputs!$B$3="Weighted",R21,Q21)</f>
        <v>4</v>
      </c>
      <c r="T21" s="14" t="str">
        <f>IF(S21="","",IF(S21&lt;=Inputs!$B$7,"Immaterial",IF(S21&lt;=Inputs!$B$8,"Low",IF(S21&lt;=Inputs!$B$9,"Moderate",IF(S21&lt;=Inputs!$B$10,"High","Severe")))))</f>
        <v>High</v>
      </c>
      <c r="U21" s="15">
        <f t="shared" si="2"/>
        <v>1</v>
      </c>
    </row>
    <row r="22" ht="54.0" customHeight="1">
      <c r="A22" s="8" t="s">
        <v>146</v>
      </c>
      <c r="B22" s="8" t="s">
        <v>164</v>
      </c>
      <c r="C22" s="8" t="s">
        <v>165</v>
      </c>
      <c r="D22" s="8" t="s">
        <v>166</v>
      </c>
      <c r="E22" s="8" t="s">
        <v>167</v>
      </c>
      <c r="F22" s="8" t="s">
        <v>168</v>
      </c>
      <c r="G22" s="12" t="s">
        <v>169</v>
      </c>
      <c r="H22" s="12" t="s">
        <v>60</v>
      </c>
      <c r="I22" s="9">
        <v>4.0</v>
      </c>
      <c r="J22" s="9">
        <v>4.0</v>
      </c>
      <c r="K22" s="9">
        <v>4.0</v>
      </c>
      <c r="L22" s="9">
        <v>3.0</v>
      </c>
      <c r="M22" s="9">
        <v>3.0</v>
      </c>
      <c r="N22" s="9">
        <v>3.0</v>
      </c>
      <c r="O22" s="9">
        <v>4.0</v>
      </c>
      <c r="P22" s="9">
        <v>4.0</v>
      </c>
      <c r="Q22" s="13">
        <f t="shared" si="1"/>
        <v>3.625</v>
      </c>
      <c r="R22" s="13">
        <f>IF(COUNT(I22:P22)=0,"",(I22*Inputs!$B$14 + J22*Inputs!$B$15 + M22*Inputs!$B$16 + L22*Inputs!$B$17 + O22*Inputs!$B$18 + N22*Inputs!$B$19 + K22*Inputs!$B$20 + P22*Inputs!$B$21))</f>
        <v>3.65</v>
      </c>
      <c r="S22" s="13">
        <f>IF(Inputs!$B$3="Weighted",R22,Q22)</f>
        <v>3.65</v>
      </c>
      <c r="T22" s="14" t="str">
        <f>IF(S22="","",IF(S22&lt;=Inputs!$B$7,"Immaterial",IF(S22&lt;=Inputs!$B$8,"Low",IF(S22&lt;=Inputs!$B$9,"Moderate",IF(S22&lt;=Inputs!$B$10,"High","Severe")))))</f>
        <v>High</v>
      </c>
      <c r="U22" s="15">
        <f t="shared" si="2"/>
        <v>1</v>
      </c>
    </row>
    <row r="23" ht="54.0" customHeight="1">
      <c r="A23" s="8" t="s">
        <v>170</v>
      </c>
      <c r="B23" s="8" t="s">
        <v>171</v>
      </c>
      <c r="C23" s="8" t="s">
        <v>172</v>
      </c>
      <c r="D23" s="8" t="s">
        <v>173</v>
      </c>
      <c r="E23" s="8" t="s">
        <v>174</v>
      </c>
      <c r="F23" s="8" t="s">
        <v>175</v>
      </c>
      <c r="G23" s="12" t="s">
        <v>176</v>
      </c>
      <c r="H23" s="12" t="s">
        <v>60</v>
      </c>
      <c r="I23" s="9">
        <v>4.0</v>
      </c>
      <c r="J23" s="9">
        <v>5.0</v>
      </c>
      <c r="K23" s="9">
        <v>4.0</v>
      </c>
      <c r="L23" s="9">
        <v>4.0</v>
      </c>
      <c r="M23" s="9">
        <v>3.0</v>
      </c>
      <c r="N23" s="9">
        <v>2.0</v>
      </c>
      <c r="O23" s="9">
        <v>4.0</v>
      </c>
      <c r="P23" s="9">
        <v>5.0</v>
      </c>
      <c r="Q23" s="13">
        <f t="shared" si="1"/>
        <v>3.875</v>
      </c>
      <c r="R23" s="13">
        <f>IF(COUNT(I23:P23)=0,"",(I23*Inputs!$B$14 + J23*Inputs!$B$15 + M23*Inputs!$B$16 + L23*Inputs!$B$17 + O23*Inputs!$B$18 + N23*Inputs!$B$19 + K23*Inputs!$B$20 + P23*Inputs!$B$21))</f>
        <v>3.9</v>
      </c>
      <c r="S23" s="13">
        <f>IF(Inputs!$B$3="Weighted",R23,Q23)</f>
        <v>3.9</v>
      </c>
      <c r="T23" s="14" t="str">
        <f>IF(S23="","",IF(S23&lt;=Inputs!$B$7,"Immaterial",IF(S23&lt;=Inputs!$B$8,"Low",IF(S23&lt;=Inputs!$B$9,"Moderate",IF(S23&lt;=Inputs!$B$10,"High","Severe")))))</f>
        <v>High</v>
      </c>
      <c r="U23" s="15">
        <f t="shared" si="2"/>
        <v>1</v>
      </c>
    </row>
    <row r="24" ht="54.0" customHeight="1">
      <c r="A24" s="8" t="s">
        <v>170</v>
      </c>
      <c r="B24" s="8" t="s">
        <v>177</v>
      </c>
      <c r="C24" s="8" t="s">
        <v>178</v>
      </c>
      <c r="D24" s="8" t="s">
        <v>179</v>
      </c>
      <c r="E24" s="8" t="s">
        <v>180</v>
      </c>
      <c r="F24" s="8" t="s">
        <v>181</v>
      </c>
      <c r="G24" s="12" t="s">
        <v>182</v>
      </c>
      <c r="H24" s="12" t="s">
        <v>60</v>
      </c>
      <c r="I24" s="9">
        <v>4.0</v>
      </c>
      <c r="J24" s="9">
        <v>5.0</v>
      </c>
      <c r="K24" s="9">
        <v>3.0</v>
      </c>
      <c r="L24" s="9">
        <v>3.0</v>
      </c>
      <c r="M24" s="9">
        <v>3.0</v>
      </c>
      <c r="N24" s="9">
        <v>2.0</v>
      </c>
      <c r="O24" s="9">
        <v>3.0</v>
      </c>
      <c r="P24" s="9">
        <v>5.0</v>
      </c>
      <c r="Q24" s="13">
        <f t="shared" si="1"/>
        <v>3.5</v>
      </c>
      <c r="R24" s="13">
        <f>IF(COUNT(I24:P24)=0,"",(I24*Inputs!$B$14 + J24*Inputs!$B$15 + M24*Inputs!$B$16 + L24*Inputs!$B$17 + O24*Inputs!$B$18 + N24*Inputs!$B$19 + K24*Inputs!$B$20 + P24*Inputs!$B$21))</f>
        <v>3.65</v>
      </c>
      <c r="S24" s="13">
        <f>IF(Inputs!$B$3="Weighted",R24,Q24)</f>
        <v>3.65</v>
      </c>
      <c r="T24" s="14" t="str">
        <f>IF(S24="","",IF(S24&lt;=Inputs!$B$7,"Immaterial",IF(S24&lt;=Inputs!$B$8,"Low",IF(S24&lt;=Inputs!$B$9,"Moderate",IF(S24&lt;=Inputs!$B$10,"High","Severe")))))</f>
        <v>High</v>
      </c>
      <c r="U24" s="15">
        <f t="shared" si="2"/>
        <v>1</v>
      </c>
    </row>
    <row r="25" ht="54.0" customHeight="1">
      <c r="A25" s="8" t="s">
        <v>170</v>
      </c>
      <c r="B25" s="8" t="s">
        <v>183</v>
      </c>
      <c r="C25" s="8" t="s">
        <v>184</v>
      </c>
      <c r="D25" s="8" t="s">
        <v>185</v>
      </c>
      <c r="E25" s="8" t="s">
        <v>186</v>
      </c>
      <c r="F25" s="8" t="s">
        <v>187</v>
      </c>
      <c r="G25" s="12" t="s">
        <v>188</v>
      </c>
      <c r="H25" s="12" t="s">
        <v>60</v>
      </c>
      <c r="I25" s="9">
        <v>5.0</v>
      </c>
      <c r="J25" s="9">
        <v>3.0</v>
      </c>
      <c r="K25" s="9">
        <v>4.0</v>
      </c>
      <c r="L25" s="9">
        <v>5.0</v>
      </c>
      <c r="M25" s="9">
        <v>3.0</v>
      </c>
      <c r="N25" s="9">
        <v>2.0</v>
      </c>
      <c r="O25" s="9">
        <v>3.0</v>
      </c>
      <c r="P25" s="9">
        <v>5.0</v>
      </c>
      <c r="Q25" s="13">
        <f t="shared" si="1"/>
        <v>3.75</v>
      </c>
      <c r="R25" s="13">
        <f>IF(COUNT(I25:P25)=0,"",(I25*Inputs!$B$14 + J25*Inputs!$B$15 + M25*Inputs!$B$16 + L25*Inputs!$B$17 + O25*Inputs!$B$18 + N25*Inputs!$B$19 + K25*Inputs!$B$20 + P25*Inputs!$B$21))</f>
        <v>3.75</v>
      </c>
      <c r="S25" s="13">
        <f>IF(Inputs!$B$3="Weighted",R25,Q25)</f>
        <v>3.75</v>
      </c>
      <c r="T25" s="14" t="str">
        <f>IF(S25="","",IF(S25&lt;=Inputs!$B$7,"Immaterial",IF(S25&lt;=Inputs!$B$8,"Low",IF(S25&lt;=Inputs!$B$9,"Moderate",IF(S25&lt;=Inputs!$B$10,"High","Severe")))))</f>
        <v>High</v>
      </c>
      <c r="U25" s="15">
        <f t="shared" si="2"/>
        <v>1</v>
      </c>
    </row>
    <row r="26" ht="54.0" customHeight="1">
      <c r="A26" s="8" t="s">
        <v>170</v>
      </c>
      <c r="B26" s="8" t="s">
        <v>189</v>
      </c>
      <c r="C26" s="8" t="s">
        <v>190</v>
      </c>
      <c r="D26" s="8" t="s">
        <v>191</v>
      </c>
      <c r="E26" s="8" t="s">
        <v>192</v>
      </c>
      <c r="F26" s="8" t="s">
        <v>193</v>
      </c>
      <c r="G26" s="12" t="s">
        <v>194</v>
      </c>
      <c r="H26" s="12" t="s">
        <v>60</v>
      </c>
      <c r="I26" s="9">
        <v>3.0</v>
      </c>
      <c r="J26" s="9">
        <v>4.0</v>
      </c>
      <c r="K26" s="9">
        <v>3.0</v>
      </c>
      <c r="L26" s="9">
        <v>5.0</v>
      </c>
      <c r="M26" s="9">
        <v>3.0</v>
      </c>
      <c r="N26" s="9">
        <v>2.0</v>
      </c>
      <c r="O26" s="9">
        <v>3.0</v>
      </c>
      <c r="P26" s="9">
        <v>5.0</v>
      </c>
      <c r="Q26" s="13">
        <f t="shared" si="1"/>
        <v>3.5</v>
      </c>
      <c r="R26" s="13">
        <f>IF(COUNT(I26:P26)=0,"",(I26*Inputs!$B$14 + J26*Inputs!$B$15 + M26*Inputs!$B$16 + L26*Inputs!$B$17 + O26*Inputs!$B$18 + N26*Inputs!$B$19 + K26*Inputs!$B$20 + P26*Inputs!$B$21))</f>
        <v>3.4</v>
      </c>
      <c r="S26" s="13">
        <f>IF(Inputs!$B$3="Weighted",R26,Q26)</f>
        <v>3.4</v>
      </c>
      <c r="T26" s="14" t="str">
        <f>IF(S26="","",IF(S26&lt;=Inputs!$B$7,"Immaterial",IF(S26&lt;=Inputs!$B$8,"Low",IF(S26&lt;=Inputs!$B$9,"Moderate",IF(S26&lt;=Inputs!$B$10,"High","Severe")))))</f>
        <v>Moderate</v>
      </c>
      <c r="U26" s="15">
        <f t="shared" si="2"/>
        <v>2.5</v>
      </c>
    </row>
    <row r="27" ht="54.0" customHeight="1">
      <c r="A27" s="8" t="s">
        <v>78</v>
      </c>
      <c r="B27" s="8" t="s">
        <v>195</v>
      </c>
      <c r="C27" s="8" t="s">
        <v>196</v>
      </c>
      <c r="D27" s="8" t="s">
        <v>197</v>
      </c>
      <c r="E27" s="8" t="s">
        <v>198</v>
      </c>
      <c r="F27" s="8" t="s">
        <v>199</v>
      </c>
      <c r="G27" s="12" t="s">
        <v>200</v>
      </c>
      <c r="H27" s="12" t="s">
        <v>60</v>
      </c>
      <c r="I27" s="9">
        <v>5.0</v>
      </c>
      <c r="J27" s="9">
        <v>4.0</v>
      </c>
      <c r="K27" s="9">
        <v>4.0</v>
      </c>
      <c r="L27" s="9">
        <v>3.0</v>
      </c>
      <c r="M27" s="9">
        <v>3.0</v>
      </c>
      <c r="N27" s="9">
        <v>3.0</v>
      </c>
      <c r="O27" s="9">
        <v>4.0</v>
      </c>
      <c r="P27" s="9">
        <v>4.0</v>
      </c>
      <c r="Q27" s="13">
        <f t="shared" si="1"/>
        <v>3.75</v>
      </c>
      <c r="R27" s="13">
        <f>IF(COUNT(I27:P27)=0,"",(I27*Inputs!$B$14 + J27*Inputs!$B$15 + M27*Inputs!$B$16 + L27*Inputs!$B$17 + O27*Inputs!$B$18 + N27*Inputs!$B$19 + K27*Inputs!$B$20 + P27*Inputs!$B$21))</f>
        <v>3.9</v>
      </c>
      <c r="S27" s="13">
        <f>IF(Inputs!$B$3="Weighted",R27,Q27)</f>
        <v>3.9</v>
      </c>
      <c r="T27" s="14" t="str">
        <f>IF(S27="","",IF(S27&lt;=Inputs!$B$7,"Immaterial",IF(S27&lt;=Inputs!$B$8,"Low",IF(S27&lt;=Inputs!$B$9,"Moderate",IF(S27&lt;=Inputs!$B$10,"High","Severe")))))</f>
        <v>High</v>
      </c>
      <c r="U27" s="15">
        <f t="shared" si="2"/>
        <v>1</v>
      </c>
    </row>
    <row r="28" ht="54.0" customHeight="1">
      <c r="A28" s="8" t="s">
        <v>201</v>
      </c>
      <c r="B28" s="8" t="s">
        <v>202</v>
      </c>
      <c r="C28" s="8" t="s">
        <v>203</v>
      </c>
      <c r="D28" s="8" t="s">
        <v>204</v>
      </c>
      <c r="E28" s="8" t="s">
        <v>205</v>
      </c>
      <c r="F28" s="8" t="s">
        <v>206</v>
      </c>
      <c r="G28" s="12" t="s">
        <v>207</v>
      </c>
      <c r="H28" s="12" t="s">
        <v>60</v>
      </c>
      <c r="I28" s="9">
        <v>5.0</v>
      </c>
      <c r="J28" s="9">
        <v>4.0</v>
      </c>
      <c r="K28" s="9">
        <v>4.0</v>
      </c>
      <c r="L28" s="9">
        <v>4.0</v>
      </c>
      <c r="M28" s="9">
        <v>3.0</v>
      </c>
      <c r="N28" s="9">
        <v>3.0</v>
      </c>
      <c r="O28" s="9">
        <v>4.0</v>
      </c>
      <c r="P28" s="9">
        <v>4.0</v>
      </c>
      <c r="Q28" s="13">
        <f t="shared" si="1"/>
        <v>3.875</v>
      </c>
      <c r="R28" s="13">
        <f>IF(COUNT(I28:P28)=0,"",(I28*Inputs!$B$14 + J28*Inputs!$B$15 + M28*Inputs!$B$16 + L28*Inputs!$B$17 + O28*Inputs!$B$18 + N28*Inputs!$B$19 + K28*Inputs!$B$20 + P28*Inputs!$B$21))</f>
        <v>4</v>
      </c>
      <c r="S28" s="13">
        <f>IF(Inputs!$B$3="Weighted",R28,Q28)</f>
        <v>4</v>
      </c>
      <c r="T28" s="14" t="str">
        <f>IF(S28="","",IF(S28&lt;=Inputs!$B$7,"Immaterial",IF(S28&lt;=Inputs!$B$8,"Low",IF(S28&lt;=Inputs!$B$9,"Moderate",IF(S28&lt;=Inputs!$B$10,"High","Severe")))))</f>
        <v>High</v>
      </c>
      <c r="U28" s="15">
        <f t="shared" si="2"/>
        <v>1</v>
      </c>
    </row>
    <row r="29" ht="54.0" customHeight="1">
      <c r="A29" s="8" t="s">
        <v>208</v>
      </c>
      <c r="B29" s="8" t="s">
        <v>209</v>
      </c>
      <c r="C29" s="8" t="s">
        <v>210</v>
      </c>
      <c r="D29" s="8" t="s">
        <v>211</v>
      </c>
      <c r="E29" s="8" t="s">
        <v>212</v>
      </c>
      <c r="F29" s="8" t="s">
        <v>213</v>
      </c>
      <c r="G29" s="12" t="s">
        <v>214</v>
      </c>
      <c r="H29" s="12" t="s">
        <v>60</v>
      </c>
      <c r="I29" s="9">
        <v>3.0</v>
      </c>
      <c r="J29" s="9">
        <v>4.0</v>
      </c>
      <c r="K29" s="9">
        <v>3.0</v>
      </c>
      <c r="L29" s="9">
        <v>3.0</v>
      </c>
      <c r="M29" s="9">
        <v>3.0</v>
      </c>
      <c r="N29" s="9">
        <v>2.0</v>
      </c>
      <c r="O29" s="9">
        <v>3.0</v>
      </c>
      <c r="P29" s="9">
        <v>4.0</v>
      </c>
      <c r="Q29" s="13">
        <f t="shared" si="1"/>
        <v>3.125</v>
      </c>
      <c r="R29" s="13">
        <f>IF(COUNT(I29:P29)=0,"",(I29*Inputs!$B$14 + J29*Inputs!$B$15 + M29*Inputs!$B$16 + L29*Inputs!$B$17 + O29*Inputs!$B$18 + N29*Inputs!$B$19 + K29*Inputs!$B$20 + P29*Inputs!$B$21))</f>
        <v>3.15</v>
      </c>
      <c r="S29" s="13">
        <f>IF(Inputs!$B$3="Weighted",R29,Q29)</f>
        <v>3.15</v>
      </c>
      <c r="T29" s="14" t="str">
        <f>IF(S29="","",IF(S29&lt;=Inputs!$B$7,"Immaterial",IF(S29&lt;=Inputs!$B$8,"Low",IF(S29&lt;=Inputs!$B$9,"Moderate",IF(S29&lt;=Inputs!$B$10,"High","Severe")))))</f>
        <v>Moderate</v>
      </c>
      <c r="U29" s="15">
        <f t="shared" si="2"/>
        <v>2.5</v>
      </c>
    </row>
    <row r="30" ht="54.0" customHeight="1">
      <c r="A30" s="8" t="s">
        <v>215</v>
      </c>
      <c r="B30" s="8" t="s">
        <v>216</v>
      </c>
      <c r="C30" s="8" t="s">
        <v>217</v>
      </c>
      <c r="D30" s="8" t="s">
        <v>218</v>
      </c>
      <c r="E30" s="8" t="s">
        <v>219</v>
      </c>
      <c r="F30" s="8" t="s">
        <v>220</v>
      </c>
      <c r="G30" s="12" t="s">
        <v>221</v>
      </c>
      <c r="H30" s="12" t="s">
        <v>60</v>
      </c>
      <c r="I30" s="9">
        <v>3.0</v>
      </c>
      <c r="J30" s="9">
        <v>4.0</v>
      </c>
      <c r="K30" s="9">
        <v>4.0</v>
      </c>
      <c r="L30" s="9">
        <v>3.0</v>
      </c>
      <c r="M30" s="9">
        <v>3.0</v>
      </c>
      <c r="N30" s="9">
        <v>2.0</v>
      </c>
      <c r="O30" s="9">
        <v>3.0</v>
      </c>
      <c r="P30" s="9">
        <v>4.0</v>
      </c>
      <c r="Q30" s="13">
        <f t="shared" si="1"/>
        <v>3.25</v>
      </c>
      <c r="R30" s="13">
        <f>IF(COUNT(I30:P30)=0,"",(I30*Inputs!$B$14 + J30*Inputs!$B$15 + M30*Inputs!$B$16 + L30*Inputs!$B$17 + O30*Inputs!$B$18 + N30*Inputs!$B$19 + K30*Inputs!$B$20 + P30*Inputs!$B$21))</f>
        <v>3.2</v>
      </c>
      <c r="S30" s="13">
        <f>IF(Inputs!$B$3="Weighted",R30,Q30)</f>
        <v>3.2</v>
      </c>
      <c r="T30" s="14" t="str">
        <f>IF(S30="","",IF(S30&lt;=Inputs!$B$7,"Immaterial",IF(S30&lt;=Inputs!$B$8,"Low",IF(S30&lt;=Inputs!$B$9,"Moderate",IF(S30&lt;=Inputs!$B$10,"High","Severe")))))</f>
        <v>Moderate</v>
      </c>
      <c r="U30" s="15">
        <f t="shared" si="2"/>
        <v>2.5</v>
      </c>
    </row>
    <row r="31" ht="54.0" customHeight="1">
      <c r="A31" s="8" t="s">
        <v>222</v>
      </c>
      <c r="B31" s="8" t="s">
        <v>223</v>
      </c>
      <c r="C31" s="8" t="s">
        <v>224</v>
      </c>
      <c r="D31" s="8" t="s">
        <v>225</v>
      </c>
      <c r="E31" s="8" t="s">
        <v>226</v>
      </c>
      <c r="F31" s="8" t="s">
        <v>227</v>
      </c>
      <c r="G31" s="12" t="s">
        <v>228</v>
      </c>
      <c r="H31" s="12" t="s">
        <v>60</v>
      </c>
      <c r="I31" s="9">
        <v>4.0</v>
      </c>
      <c r="J31" s="9">
        <v>4.0</v>
      </c>
      <c r="K31" s="9">
        <v>4.0</v>
      </c>
      <c r="L31" s="9">
        <v>3.0</v>
      </c>
      <c r="M31" s="9">
        <v>3.0</v>
      </c>
      <c r="N31" s="9">
        <v>2.0</v>
      </c>
      <c r="O31" s="9">
        <v>4.0</v>
      </c>
      <c r="P31" s="9">
        <v>4.0</v>
      </c>
      <c r="Q31" s="13">
        <f t="shared" si="1"/>
        <v>3.5</v>
      </c>
      <c r="R31" s="13">
        <f>IF(COUNT(I31:P31)=0,"",(I31*Inputs!$B$14 + J31*Inputs!$B$15 + M31*Inputs!$B$16 + L31*Inputs!$B$17 + O31*Inputs!$B$18 + N31*Inputs!$B$19 + K31*Inputs!$B$20 + P31*Inputs!$B$21))</f>
        <v>3.55</v>
      </c>
      <c r="S31" s="13">
        <f>IF(Inputs!$B$3="Weighted",R31,Q31)</f>
        <v>3.55</v>
      </c>
      <c r="T31" s="14" t="str">
        <f>IF(S31="","",IF(S31&lt;=Inputs!$B$7,"Immaterial",IF(S31&lt;=Inputs!$B$8,"Low",IF(S31&lt;=Inputs!$B$9,"Moderate",IF(S31&lt;=Inputs!$B$10,"High","Severe")))))</f>
        <v>High</v>
      </c>
      <c r="U31" s="15">
        <f t="shared" si="2"/>
        <v>1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R1"/>
  </mergeCells>
  <conditionalFormatting sqref="S4:S31">
    <cfRule type="colorScale" priority="1">
      <colorScale>
        <cfvo type="formula" val="1"/>
        <cfvo type="formula" val="3"/>
        <cfvo type="formula" val="5"/>
        <color rgb="FF63BE7B"/>
        <color rgb="FFFFEB84"/>
        <color rgb="FFF8696B"/>
      </colorScale>
    </cfRule>
  </conditionalFormatting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8.0"/>
    <col customWidth="1" min="2" max="2" width="10.0"/>
    <col customWidth="1" min="3" max="3" width="12.0"/>
    <col customWidth="1" min="4" max="26" width="8.71"/>
  </cols>
  <sheetData>
    <row r="1">
      <c r="A1" s="1" t="s">
        <v>229</v>
      </c>
    </row>
    <row r="3">
      <c r="A3" s="2" t="s">
        <v>230</v>
      </c>
      <c r="B3" s="2" t="str">
        <f>Inputs!B3</f>
        <v>Weighted</v>
      </c>
    </row>
    <row r="5">
      <c r="A5" s="7" t="s">
        <v>51</v>
      </c>
      <c r="B5" s="7" t="s">
        <v>231</v>
      </c>
      <c r="C5" s="7" t="s">
        <v>232</v>
      </c>
    </row>
    <row r="6">
      <c r="A6" s="8" t="s">
        <v>233</v>
      </c>
      <c r="B6" s="16">
        <f>COUNTIF('Audit Universe'!$T$4:$T$31,A6)</f>
        <v>0</v>
      </c>
      <c r="C6" s="17">
        <f t="shared" ref="C6:C10" si="1">IF(SUM($B$6:$B$10)=0,0,B6/SUM($B$6:$B$10))</f>
        <v>0</v>
      </c>
    </row>
    <row r="7">
      <c r="A7" s="8" t="s">
        <v>234</v>
      </c>
      <c r="B7" s="16">
        <f>COUNTIF('Audit Universe'!$T$4:$T$31,A7)</f>
        <v>20</v>
      </c>
      <c r="C7" s="17">
        <f t="shared" si="1"/>
        <v>0.7142857143</v>
      </c>
    </row>
    <row r="8">
      <c r="A8" s="8" t="s">
        <v>235</v>
      </c>
      <c r="B8" s="16">
        <f>COUNTIF('Audit Universe'!$T$4:$T$31,A8)</f>
        <v>8</v>
      </c>
      <c r="C8" s="17">
        <f t="shared" si="1"/>
        <v>0.2857142857</v>
      </c>
    </row>
    <row r="9">
      <c r="A9" s="8" t="s">
        <v>236</v>
      </c>
      <c r="B9" s="16">
        <f>COUNTIF('Audit Universe'!$T$4:$T$31,A9)</f>
        <v>0</v>
      </c>
      <c r="C9" s="17">
        <f t="shared" si="1"/>
        <v>0</v>
      </c>
    </row>
    <row r="10">
      <c r="A10" s="8" t="s">
        <v>237</v>
      </c>
      <c r="B10" s="16">
        <f>COUNTIF('Audit Universe'!$T$4:$T$31,A10)</f>
        <v>0</v>
      </c>
      <c r="C10" s="17">
        <f t="shared" si="1"/>
        <v>0</v>
      </c>
    </row>
    <row r="12">
      <c r="A12" s="2" t="s">
        <v>238</v>
      </c>
      <c r="B12" s="2">
        <f>COUNTA('Audit Universe'!$C$4:$C$31)</f>
        <v>28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10.0"/>
    <col customWidth="1" min="2" max="26" width="8.71"/>
  </cols>
  <sheetData>
    <row r="1">
      <c r="A1" s="1" t="s">
        <v>239</v>
      </c>
    </row>
    <row r="3">
      <c r="A3" s="18" t="s">
        <v>240</v>
      </c>
    </row>
    <row r="4">
      <c r="A4" s="18" t="s">
        <v>241</v>
      </c>
    </row>
    <row r="5">
      <c r="A5" s="18" t="s">
        <v>242</v>
      </c>
    </row>
    <row r="6">
      <c r="A6" s="18" t="s">
        <v>243</v>
      </c>
    </row>
    <row r="7">
      <c r="A7" s="18" t="s">
        <v>244</v>
      </c>
    </row>
    <row r="8">
      <c r="A8" s="18" t="s">
        <v>245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