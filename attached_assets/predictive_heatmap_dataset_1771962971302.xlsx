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013d96af1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2e0a7260b99a4ba9"/>
    <x:sheet xmlns:r="http://schemas.openxmlformats.org/officeDocument/2006/relationships" name="Operational_Metrics" sheetId="2" r:id="R4e5d7ee86a3a44dc"/>
    <x:sheet xmlns:r="http://schemas.openxmlformats.org/officeDocument/2006/relationships" name="Readme" sheetId="3" r:id="Rd5400253835a431a"/>
  </x:sheets>
</x:workbook>
</file>

<file path=xl/comments1.xml><?xml version="1.0" encoding="utf-8"?>
<x:comments xmlns:x="http://schemas.openxmlformats.org/spreadsheetml/2006/main">
  <x:authors>
    <x:author>Model</x:author>
  </x:authors>
  <x:commentList>
    <x:comment ref="B3" authorId="0">
      <x:text>
        <x:r>
          <x:t>Change this if your typical exception rates are higher/lower.</x:t>
        </x:r>
      </x:text>
    </x:comment>
    <x:comment ref="D12" authorId="0">
      <x:text>
        <x:r>
          <x:t>Weights should sum to 1.00 for interpretability (not required).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5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  <x:font>
      <x:b/>
      <x:sz val="14"/>
    </x:font>
    <x:font>
      <x:b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2" fillId="2" borderId="1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1" fillId="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2" fontId="0" fillId="0" borderId="1" xfId="0" applyAlignment="1">
      <x:alignment vertical="center" wrapText="1"/>
    </x:xf>
    <x:xf numFmtId="1" fontId="0" fillId="0" borderId="1" xfId="0" applyAlignment="1">
      <x:alignment vertical="center" wrapText="1"/>
    </x:xf>
    <x:xf numFmtId="2" fontId="1" fillId="0" borderId="1" xfId="0" applyAlignment="1">
      <x:alignment vertical="center" wrapText="1"/>
    </x:xf>
    <x:xf numFmtId="0" fontId="2" fillId="2" borderId="1" xfId="0" applyAlignment="1">
      <x:alignment horizontal="center" vertical="center" wrapText="1"/>
    </x:xf>
    <x:xf numFmtId="164" fontId="0" fillId="0" borderId="0" xfId="0"/>
    <x:xf numFmtId="2" fontId="0" fillId="0" borderId="0" xfId="0"/>
    <x:xf numFmtId="1" fontId="0" fillId="0" borderId="0" xfId="0"/>
    <x:xf numFmtId="165" fontId="0" fillId="0" borderId="0" xfId="0"/>
    <x:xf numFmtId="0" fontId="3" fillId="0" borderId="0" xfId="0"/>
    <x:xf numFmtId="0" fontId="4" fillId="0" borderId="0" xfId="0"/>
    <x:xf numFmtId="0" fontId="2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077ed971c401a" /><Relationship Type="http://schemas.openxmlformats.org/officeDocument/2006/relationships/theme" Target="/xl/theme/theme1.xml" Id="R74e499ed01244300" /><Relationship Type="http://schemas.openxmlformats.org/officeDocument/2006/relationships/sharedStrings" Target="/xl/sharedStrings.xml" Id="R409561f2230c47c0" /><Relationship Type="http://schemas.openxmlformats.org/officeDocument/2006/relationships/worksheet" Target="/xl/worksheets/sheet1.xml" Id="R2e0a7260b99a4ba9" /><Relationship Type="http://schemas.openxmlformats.org/officeDocument/2006/relationships/worksheet" Target="/xl/worksheets/sheet2.xml" Id="R4e5d7ee86a3a44dc" /><Relationship Type="http://schemas.openxmlformats.org/officeDocument/2006/relationships/worksheet" Target="/xl/worksheets/sheet3.xml" Id="Rd5400253835a431a" /><Relationship Type="http://schemas.microsoft.com/office/2017/10/relationships/person" Target="/xl/persons/person.xml" Id="R5d5dfffb4bda495e" /></Relationships>
</file>

<file path=xl/persons/person.xml><?xml version="1.0" encoding="utf-8"?>
<xltc:personList xmlns:xltc="http://schemas.microsoft.com/office/spreadsheetml/2018/threadedcomments">
  <xltc:person displayName="Model" id="{DCDD1BBB-F7A2-268C-166F-A08E7ECD9394}"/>
</xltc:personList>
</file>

<file path=xl/tables/table1.xml><?xml version="1.0" encoding="utf-8"?>
<x:table xmlns:x="http://schemas.openxmlformats.org/spreadsheetml/2006/main" id="1" name="OperationalMetrics" displayName="OperationalMetrics" ref="A1:T29" headerRowCount="1">
  <x:autoFilter ref="A1:S29"/>
  <x:tableColumns count="19">
    <x:tableColumn id="1" name="Audit Unit"/>
    <x:tableColumn id="2" name="Exception Rate"/>
    <x:tableColumn id="3" name="Processing Error Rate"/>
    <x:tableColumn id="4" name="Backlog &gt;SLA"/>
    <x:tableColumn id="5" name="Manual Overrides"/>
    <x:tableColumn id="6" name="Volume Spike Index"/>
    <x:tableColumn id="7" name="Staff Turnover"/>
    <x:tableColumn id="8" name="Capacity Strain Index"/>
    <x:tableColumn id="9" name="Exception Score (0-100)"/>
    <x:tableColumn id="10" name="Error Score (0-100)"/>
    <x:tableColumn id="11" name="Backlog Score (0-100)"/>
    <x:tableColumn id="12" name="Override Score (0-100)"/>
    <x:tableColumn id="13" name="Volume Score (0-100)"/>
    <x:tableColumn id="14" name="Turnover Score (0-100)"/>
    <x:tableColumn id="15" name="Capacity Score (0-100)"/>
    <x:tableColumn id="16" name="Operational Stress Score"/>
    <x:tableColumn id="17" name="Escalation Multiplier"/>
    <x:tableColumn id="18" name="Predictive Score"/>
    <x:tableColumn id="19" name="Risk Ban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71478c2d3b4934" /><Relationship Type="http://schemas.openxmlformats.org/officeDocument/2006/relationships/vmlDrawing" Target="/xl/drawings/vmldrawing.vml" Id="Rc034e8cab8d642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c9139c560544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12" customWidth="1"/>
    <x:col min="3" max="3" width="52" customWidth="1"/>
    <x:col min="4" max="4" width="10" customWidth="1"/>
    <x:col min="5" max="5" width="10" customWidth="1"/>
  </x:cols>
  <x:sheetData>
    <x:row r="1" ht="20" customHeight="1">
      <x:c r="A1" s="1" t="inlineStr">
        <x:is>
          <x:t xml:space="preserve">Parameter</x:t>
        </x:is>
      </x:c>
      <x:c r="B1" s="1" t="inlineStr">
        <x:is>
          <x:t xml:space="preserve">Value</x:t>
        </x:is>
      </x:c>
      <x:c r="C1" s="1" t="inlineStr">
        <x:is>
          <x:t xml:space="preserve">Notes</x:t>
        </x:is>
      </x:c>
      <x:c r="D1" s="1" t="inlineStr">
        <x:is>
          <x:t xml:space="preserve">Weight</x:t>
        </x:is>
      </x:c>
      <x:c r="E1" s="2" t="inlineStr">
        <x:is>
          <x:t xml:space="preserve">Extra</x:t>
        </x:is>
      </x:c>
    </x:row>
    <x:row r="2">
      <x:c r="A2" s="3" t="inlineStr">
        <x:is>
          <x:t xml:space="preserve">Normalization thresholds (max expected)</x:t>
        </x:is>
      </x:c>
      <x:c r="B2" s="4" t="inlineStr">
        <x:is>
          <x:t xml:space="preserve"/>
        </x:is>
      </x:c>
      <x:c r="C2" s="4" t="inlineStr">
        <x:is>
          <x:t xml:space="preserve"/>
        </x:is>
      </x:c>
      <x:c r="D2" s="4" t="inlineStr">
        <x:is>
          <x:t xml:space="preserve"/>
        </x:is>
      </x:c>
    </x:row>
    <x:row r="3">
      <x:c r="A3" s="4" t="inlineStr">
        <x:is>
          <x:t xml:space="preserve">Exception_Max</x:t>
        </x:is>
      </x:c>
      <x:c r="B3" s="5" t="n">
        <x:v>0.1</x:v>
      </x:c>
      <x:c r="C3" s="4" t="inlineStr">
        <x:is>
          <x:t xml:space="preserve">Max exception rate used for 0–100 scaling</x:t>
        </x:is>
      </x:c>
      <x:c r="D3" s="4" t="inlineStr">
        <x:is>
          <x:t xml:space="preserve"/>
        </x:is>
      </x:c>
    </x:row>
    <x:row r="4">
      <x:c r="A4" s="4" t="inlineStr">
        <x:is>
          <x:t xml:space="preserve">Error_Max</x:t>
        </x:is>
      </x:c>
      <x:c r="B4" s="5" t="n">
        <x:v>0.06</x:v>
      </x:c>
      <x:c r="C4" s="4" t="inlineStr">
        <x:is>
          <x:t xml:space="preserve">Max processing error rate used for 0–100 scaling</x:t>
        </x:is>
      </x:c>
      <x:c r="D4" s="4" t="inlineStr">
        <x:is>
          <x:t xml:space="preserve"/>
        </x:is>
      </x:c>
    </x:row>
    <x:row r="5">
      <x:c r="A5" s="4" t="inlineStr">
        <x:is>
          <x:t xml:space="preserve">Backlog_Max</x:t>
        </x:is>
      </x:c>
      <x:c r="B5" s="5" t="n">
        <x:v>0.3</x:v>
      </x:c>
      <x:c r="C5" s="4" t="inlineStr">
        <x:is>
          <x:t xml:space="preserve">Max % items over SLA used for 0–100 scaling</x:t>
        </x:is>
      </x:c>
      <x:c r="D5" s="4" t="inlineStr">
        <x:is>
          <x:t xml:space="preserve"/>
        </x:is>
      </x:c>
    </x:row>
    <x:row r="6">
      <x:c r="A6" s="4" t="inlineStr">
        <x:is>
          <x:t xml:space="preserve">Overrides_Max</x:t>
        </x:is>
      </x:c>
      <x:c r="B6" s="5" t="n">
        <x:v>0.2</x:v>
      </x:c>
      <x:c r="C6" s="4" t="inlineStr">
        <x:is>
          <x:t xml:space="preserve">Max manual override rate used for 0–100 scaling</x:t>
        </x:is>
      </x:c>
      <x:c r="D6" s="4" t="inlineStr">
        <x:is>
          <x:t xml:space="preserve"/>
        </x:is>
      </x:c>
    </x:row>
    <x:row r="7">
      <x:c r="A7" s="4" t="inlineStr">
        <x:is>
          <x:t xml:space="preserve">Volume_Max</x:t>
        </x:is>
      </x:c>
      <x:c r="B7" s="6" t="n">
        <x:v>2</x:v>
      </x:c>
      <x:c r="C7" s="4" t="inlineStr">
        <x:is>
          <x:t xml:space="preserve">Max volume spike index (1.0 = baseline)</x:t>
        </x:is>
      </x:c>
      <x:c r="D7" s="4" t="inlineStr">
        <x:is>
          <x:t xml:space="preserve"/>
        </x:is>
      </x:c>
    </x:row>
    <x:row r="8">
      <x:c r="A8" s="4" t="inlineStr">
        <x:is>
          <x:t xml:space="preserve">Turnover_Max</x:t>
        </x:is>
      </x:c>
      <x:c r="B8" s="5" t="n">
        <x:v>0.3</x:v>
      </x:c>
      <x:c r="C8" s="4" t="inlineStr">
        <x:is>
          <x:t xml:space="preserve">Max turnover rate used for 0–100 scaling</x:t>
        </x:is>
      </x:c>
      <x:c r="D8" s="4" t="inlineStr">
        <x:is>
          <x:t xml:space="preserve"/>
        </x:is>
      </x:c>
    </x:row>
    <x:row r="9">
      <x:c r="A9" s="4" t="inlineStr">
        <x:is>
          <x:t xml:space="preserve">Capacity_Max</x:t>
        </x:is>
      </x:c>
      <x:c r="B9" s="7" t="n">
        <x:v>100</x:v>
      </x:c>
      <x:c r="C9" s="4" t="inlineStr">
        <x:is>
          <x:t xml:space="preserve">Max capacity strain index (0–100)</x:t>
        </x:is>
      </x:c>
      <x:c r="D9" s="4" t="inlineStr">
        <x:is>
          <x:t xml:space="preserve"/>
        </x:is>
      </x:c>
    </x:row>
    <x:row r="10">
      <x:c r="A10" s="4" t="inlineStr">
        <x:is>
          <x:t xml:space="preserve"/>
        </x:is>
      </x:c>
      <x:c r="B10" s="4" t="inlineStr">
        <x:is>
          <x:t xml:space="preserve"/>
        </x:is>
      </x:c>
      <x:c r="C10" s="4" t="inlineStr">
        <x:is>
          <x:t xml:space="preserve"/>
        </x:is>
      </x:c>
      <x:c r="D10" s="4" t="inlineStr">
        <x:is>
          <x:t xml:space="preserve"/>
        </x:is>
      </x:c>
    </x:row>
    <x:row r="11">
      <x:c r="A11" s="3" t="inlineStr">
        <x:is>
          <x:t xml:space="preserve">Weights for Operational Stress Score</x:t>
        </x:is>
      </x:c>
      <x:c r="B11" s="4" t="inlineStr">
        <x:is>
          <x:t xml:space="preserve"/>
        </x:is>
      </x:c>
      <x:c r="C11" s="3" t="inlineStr">
        <x:is>
          <x:t xml:space="preserve">Weight sum check</x:t>
        </x:is>
      </x:c>
      <x:c r="D11" s="8">
        <x:f>SUM(D12:D18)</x:f>
        <x:v>1</x:v>
      </x:c>
    </x:row>
    <x:row r="12">
      <x:c r="A12" s="4" t="inlineStr">
        <x:is>
          <x:t xml:space="preserve">Exception_w</x:t>
        </x:is>
      </x:c>
      <x:c r="B12" s="4" t="inlineStr">
        <x:is>
          <x:t xml:space="preserve"/>
        </x:is>
      </x:c>
      <x:c r="C12" s="4" t="inlineStr">
        <x:is>
          <x:t xml:space="preserve"/>
        </x:is>
      </x:c>
      <x:c r="D12" s="6" t="n">
        <x:v>0.2</x:v>
      </x:c>
    </x:row>
    <x:row r="13">
      <x:c r="A13" s="4" t="inlineStr">
        <x:is>
          <x:t xml:space="preserve">Error_w</x:t>
        </x:is>
      </x:c>
      <x:c r="B13" s="4" t="inlineStr">
        <x:is>
          <x:t xml:space="preserve"/>
        </x:is>
      </x:c>
      <x:c r="C13" s="4" t="inlineStr">
        <x:is>
          <x:t xml:space="preserve"/>
        </x:is>
      </x:c>
      <x:c r="D13" s="6" t="n">
        <x:v>0.2</x:v>
      </x:c>
    </x:row>
    <x:row r="14">
      <x:c r="A14" s="4" t="inlineStr">
        <x:is>
          <x:t xml:space="preserve">Backlog_w</x:t>
        </x:is>
      </x:c>
      <x:c r="B14" s="4" t="inlineStr">
        <x:is>
          <x:t xml:space="preserve"/>
        </x:is>
      </x:c>
      <x:c r="C14" s="4" t="inlineStr">
        <x:is>
          <x:t xml:space="preserve"/>
        </x:is>
      </x:c>
      <x:c r="D14" s="6" t="n">
        <x:v>0.15</x:v>
      </x:c>
    </x:row>
    <x:row r="15">
      <x:c r="A15" s="4" t="inlineStr">
        <x:is>
          <x:t xml:space="preserve">Overrides_w</x:t>
        </x:is>
      </x:c>
      <x:c r="B15" s="4" t="inlineStr">
        <x:is>
          <x:t xml:space="preserve"/>
        </x:is>
      </x:c>
      <x:c r="C15" s="4" t="inlineStr">
        <x:is>
          <x:t xml:space="preserve"/>
        </x:is>
      </x:c>
      <x:c r="D15" s="6" t="n">
        <x:v>0.15</x:v>
      </x:c>
    </x:row>
    <x:row r="16">
      <x:c r="A16" s="4" t="inlineStr">
        <x:is>
          <x:t xml:space="preserve">Volume_w</x:t>
        </x:is>
      </x:c>
      <x:c r="B16" s="4" t="inlineStr">
        <x:is>
          <x:t xml:space="preserve"/>
        </x:is>
      </x:c>
      <x:c r="C16" s="4" t="inlineStr">
        <x:is>
          <x:t xml:space="preserve"/>
        </x:is>
      </x:c>
      <x:c r="D16" s="6" t="n">
        <x:v>0.15</x:v>
      </x:c>
    </x:row>
    <x:row r="17">
      <x:c r="A17" s="4" t="inlineStr">
        <x:is>
          <x:t xml:space="preserve">Turnover_w</x:t>
        </x:is>
      </x:c>
      <x:c r="B17" s="4" t="inlineStr">
        <x:is>
          <x:t xml:space="preserve"/>
        </x:is>
      </x:c>
      <x:c r="C17" s="4" t="inlineStr">
        <x:is>
          <x:t xml:space="preserve"/>
        </x:is>
      </x:c>
      <x:c r="D17" s="6" t="n">
        <x:v>0.1</x:v>
      </x:c>
    </x:row>
    <x:row r="18">
      <x:c r="A18" s="4" t="inlineStr">
        <x:is>
          <x:t xml:space="preserve">Capacity_w</x:t>
        </x:is>
      </x:c>
      <x:c r="B18" s="4" t="inlineStr">
        <x:is>
          <x:t xml:space="preserve"/>
        </x:is>
      </x:c>
      <x:c r="C18" s="4" t="inlineStr">
        <x:is>
          <x:t xml:space="preserve"/>
        </x:is>
      </x:c>
      <x:c r="D18" s="6" t="n">
        <x:v>0.05</x:v>
      </x:c>
    </x:row>
    <x:row r="19">
      <x:c r="A19" s="4" t="inlineStr">
        <x:is>
          <x:t xml:space="preserve"/>
        </x:is>
      </x:c>
      <x:c r="B19" s="4" t="inlineStr">
        <x:is>
          <x:t xml:space="preserve"/>
        </x:is>
      </x:c>
      <x:c r="C19" s="4" t="inlineStr">
        <x:is>
          <x:t xml:space="preserve"/>
        </x:is>
      </x:c>
      <x:c r="D19" s="4" t="inlineStr">
        <x:is>
          <x:t xml:space="preserve"/>
        </x:is>
      </x:c>
    </x:row>
    <x:row r="20">
      <x:c r="A20" s="3" t="inlineStr">
        <x:is>
          <x:t xml:space="preserve">Escalation trigger thresholds</x:t>
        </x:is>
      </x:c>
      <x:c r="B20" s="4" t="inlineStr">
        <x:is>
          <x:t xml:space="preserve"/>
        </x:is>
      </x:c>
      <x:c r="C20" s="4" t="inlineStr">
        <x:is>
          <x:t xml:space="preserve"/>
        </x:is>
      </x:c>
      <x:c r="D20" s="4" t="inlineStr">
        <x:is>
          <x:t xml:space="preserve"/>
        </x:is>
      </x:c>
    </x:row>
    <x:row r="21">
      <x:c r="A21" s="4" t="inlineStr">
        <x:is>
          <x:t xml:space="preserve">Volume_Trigger</x:t>
        </x:is>
      </x:c>
      <x:c r="B21" s="6" t="n">
        <x:v>1.6</x:v>
      </x:c>
      <x:c r="C21" s="4" t="inlineStr">
        <x:is>
          <x:t xml:space="preserve">If Volume Spike Index exceeds this</x:t>
        </x:is>
      </x:c>
      <x:c r="D21" s="4" t="inlineStr">
        <x:is>
          <x:t xml:space="preserve"/>
        </x:is>
      </x:c>
    </x:row>
    <x:row r="22">
      <x:c r="A22" s="4" t="inlineStr">
        <x:is>
          <x:t xml:space="preserve">Backlog_Trigger</x:t>
        </x:is>
      </x:c>
      <x:c r="B22" s="5" t="n">
        <x:v>0.2</x:v>
      </x:c>
      <x:c r="C22" s="4" t="inlineStr">
        <x:is>
          <x:t xml:space="preserve">If Backlog &gt;SLA exceeds this</x:t>
        </x:is>
      </x:c>
      <x:c r="D22" s="4" t="inlineStr">
        <x:is>
          <x:t xml:space="preserve"/>
        </x:is>
      </x:c>
    </x:row>
    <x:row r="23">
      <x:c r="A23" s="4" t="inlineStr">
        <x:is>
          <x:t xml:space="preserve">Overrides_Trigger</x:t>
        </x:is>
      </x:c>
      <x:c r="B23" s="5" t="n">
        <x:v>0.12</x:v>
      </x:c>
      <x:c r="C23" s="4" t="inlineStr">
        <x:is>
          <x:t xml:space="preserve">If Manual Overrides exceeds this</x:t>
        </x:is>
      </x:c>
      <x:c r="D23" s="4" t="inlineStr">
        <x:is>
          <x:t xml:space="preserve"/>
        </x:is>
      </x:c>
    </x:row>
    <x:row r="24">
      <x:c r="A24" s="4" t="inlineStr">
        <x:is>
          <x:t xml:space="preserve">Escalation_Factor</x:t>
        </x:is>
      </x:c>
      <x:c r="B24" s="6" t="n">
        <x:v>1.15</x:v>
      </x:c>
      <x:c r="C24" s="4" t="inlineStr">
        <x:is>
          <x:t xml:space="preserve">Multiplier applied when all triggers are met</x:t>
        </x:is>
      </x:c>
      <x:c r="D24" s="4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c034e8cab8d64250"/>
</x:worksheet>
</file>

<file path=xl/worksheets/sheet2.xml><?xml version="1.0" encoding="utf-8"?>
<x:worksheet xmlns:x="http://schemas.openxmlformats.org/spreadsheetml/2006/main">
  <x:sheetFormatPr defaultRowHeight="15"/>
  <x:cols>
    <x:col min="1" max="1" width="34" customWidth="1"/>
    <x:col min="2" max="2" width="14" customWidth="1"/>
    <x:col min="3" max="3" width="20" customWidth="1"/>
    <x:col min="4" max="4" width="14" customWidth="1"/>
    <x:col min="5" max="5" width="15" customWidth="1"/>
    <x:col min="6" max="6" width="16" customWidth="1"/>
    <x:col min="7" max="7" width="14" customWidth="1"/>
    <x:col min="8" max="8" width="20" customWidth="1"/>
    <x:col min="9" max="9" width="18" customWidth="1"/>
    <x:col min="10" max="10" width="16" customWidth="1"/>
    <x:col min="11" max="11" width="18" customWidth="1"/>
    <x:col min="12" max="12" width="18" customWidth="1"/>
    <x:col min="13" max="13" width="16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6" customWidth="1"/>
    <x:col min="19" max="19" width="12" customWidth="1"/>
    <x:col min="20" max="20" width="16" customWidth="1"/>
  </x:cols>
  <x:sheetData>
    <x:row r="1" ht="44" customHeight="1">
      <x:c r="A1" s="9" t="inlineStr">
        <x:is>
          <x:t xml:space="preserve">Audit Unit</x:t>
        </x:is>
      </x:c>
      <x:c r="B1" s="9" t="inlineStr">
        <x:is>
          <x:t xml:space="preserve">Exception Rate</x:t>
        </x:is>
      </x:c>
      <x:c r="C1" s="9" t="inlineStr">
        <x:is>
          <x:t xml:space="preserve">Processing Error Rate</x:t>
        </x:is>
      </x:c>
      <x:c r="D1" s="9" t="inlineStr">
        <x:is>
          <x:t xml:space="preserve">Backlog &gt;SLA</x:t>
        </x:is>
      </x:c>
      <x:c r="E1" s="9" t="inlineStr">
        <x:is>
          <x:t xml:space="preserve">Manual Overrides</x:t>
        </x:is>
      </x:c>
      <x:c r="F1" s="9" t="inlineStr">
        <x:is>
          <x:t xml:space="preserve">Volume Spike Index</x:t>
        </x:is>
      </x:c>
      <x:c r="G1" s="9" t="inlineStr">
        <x:is>
          <x:t xml:space="preserve">Staff Turnover</x:t>
        </x:is>
      </x:c>
      <x:c r="H1" s="9" t="inlineStr">
        <x:is>
          <x:t xml:space="preserve">Capacity Strain Index</x:t>
        </x:is>
      </x:c>
      <x:c r="I1" s="9" t="inlineStr">
        <x:is>
          <x:t xml:space="preserve">Exception Score (0-100)</x:t>
        </x:is>
      </x:c>
      <x:c r="J1" s="9" t="inlineStr">
        <x:is>
          <x:t xml:space="preserve">Error Score (0-100)</x:t>
        </x:is>
      </x:c>
      <x:c r="K1" s="9" t="inlineStr">
        <x:is>
          <x:t xml:space="preserve">Backlog Score (0-100)</x:t>
        </x:is>
      </x:c>
      <x:c r="L1" s="9" t="inlineStr">
        <x:is>
          <x:t xml:space="preserve">Override Score (0-100)</x:t>
        </x:is>
      </x:c>
      <x:c r="M1" s="9" t="inlineStr">
        <x:is>
          <x:t xml:space="preserve">Volume Score (0-100)</x:t>
        </x:is>
      </x:c>
      <x:c r="N1" s="9" t="inlineStr">
        <x:is>
          <x:t xml:space="preserve">Turnover Score (0-100)</x:t>
        </x:is>
      </x:c>
      <x:c r="O1" s="9" t="inlineStr">
        <x:is>
          <x:t xml:space="preserve">Capacity Score (0-100)</x:t>
        </x:is>
      </x:c>
      <x:c r="P1" s="9" t="inlineStr">
        <x:is>
          <x:t xml:space="preserve">Operational Stress Score</x:t>
        </x:is>
      </x:c>
      <x:c r="Q1" s="9" t="inlineStr">
        <x:is>
          <x:t xml:space="preserve">Escalation Multiplier</x:t>
        </x:is>
      </x:c>
      <x:c r="R1" s="9" t="inlineStr">
        <x:is>
          <x:t xml:space="preserve">Predictive Score</x:t>
        </x:is>
      </x:c>
      <x:c r="S1" s="9" t="inlineStr">
        <x:is>
          <x:t xml:space="preserve">Risk Band (1=Low,2=Med,3=High,4=Crit)</x:t>
        </x:is>
      </x:c>
      <x:c r="T1" s="16" t="inlineStr">
        <x:is>
          <x:t xml:space="preserve">Risk Band Label</x:t>
        </x:is>
      </x:c>
    </x:row>
    <x:row r="2">
      <x:c r="A2" t="inlineStr">
        <x:is>
          <x:t xml:space="preserve">Market Risk Management</x:t>
        </x:is>
      </x:c>
      <x:c r="B2" s="10" t="n">
        <x:v>0.028</x:v>
      </x:c>
      <x:c r="C2" s="10" t="n">
        <x:v>0.012</x:v>
      </x:c>
      <x:c r="D2" s="10" t="n">
        <x:v>0.06</x:v>
      </x:c>
      <x:c r="E2" s="10" t="n">
        <x:v>0.045</x:v>
      </x:c>
      <x:c r="F2" s="11" t="n">
        <x:v>1.35</x:v>
      </x:c>
      <x:c r="G2" s="10" t="n">
        <x:v>0.12</x:v>
      </x:c>
      <x:c r="H2" s="12" t="n">
        <x:v>68</x:v>
      </x:c>
      <x:c r="I2" s="13">
        <x:f>MIN(B2/Parameters!$B$3,1)*100</x:f>
        <x:v>27.999999999999996</x:v>
      </x:c>
      <x:c r="J2" s="13">
        <x:f>MIN(C2/Parameters!$B$4,1)*100</x:f>
        <x:v>20</x:v>
      </x:c>
      <x:c r="K2" s="13">
        <x:f>MIN(D2/Parameters!$B$5,1)*100</x:f>
        <x:v>20</x:v>
      </x:c>
      <x:c r="L2" s="13">
        <x:f>MIN(E2/Parameters!$B$6,1)*100</x:f>
        <x:v>22.499999999999996</x:v>
      </x:c>
      <x:c r="M2" s="13">
        <x:f>MIN(MAX((F2-1)/(Parameters!$B$7-1),0),1)*100</x:f>
        <x:v>35.00000000000001</x:v>
      </x:c>
      <x:c r="N2" s="13">
        <x:f>MIN(G2/Parameters!$B$8,1)*100</x:f>
        <x:v>40</x:v>
      </x:c>
      <x:c r="O2" s="13">
        <x:f>MIN(H2/Parameters!$B$9,1)*100</x:f>
        <x:v>68</x:v>
      </x:c>
      <x:c r="P2" s="13">
        <x:f>I2*Parameters!$D$12+J2*Parameters!$D$13+K2*Parameters!$D$14+L2*Parameters!$D$15+M2*Parameters!$D$16+N2*Parameters!$D$17+O2*Parameters!$D$18</x:f>
        <x:v>28.625</x:v>
      </x:c>
      <x:c r="Q2" s="11">
        <x:f>IF(AND(F2&gt;Parameters!$B$21,D2&gt;Parameters!$B$22,E2&gt;Parameters!$B$23),Parameters!$B$24,1)</x:f>
        <x:v>1</x:v>
      </x:c>
      <x:c r="R2" s="13">
        <x:f>P2*Q2</x:f>
        <x:v>28.625</x:v>
      </x:c>
      <x:c r="S2" s="12">
        <x:f>IF(R2&lt;35,1,IF(R2&lt;55,2,IF(R2&lt;75,3,4)))</x:f>
        <x:v>1</x:v>
      </x:c>
      <x:c r="T2" t="str">
        <x:f>CHOOSE(S2,"Low","Medium","High","Critical")</x:f>
        <x:v>Low</x:v>
      </x:c>
    </x:row>
    <x:row r="3">
      <x:c r="A3" t="inlineStr">
        <x:is>
          <x:t xml:space="preserve">Credit Risk Management</x:t>
        </x:is>
      </x:c>
      <x:c r="B3" s="10" t="n">
        <x:v>0.045</x:v>
      </x:c>
      <x:c r="C3" s="10" t="n">
        <x:v>0.021</x:v>
      </x:c>
      <x:c r="D3" s="10" t="n">
        <x:v>0.11</x:v>
      </x:c>
      <x:c r="E3" s="10" t="n">
        <x:v>0.062</x:v>
      </x:c>
      <x:c r="F3" s="11" t="n">
        <x:v>1.42</x:v>
      </x:c>
      <x:c r="G3" s="10" t="n">
        <x:v>0.15</x:v>
      </x:c>
      <x:c r="H3" s="12" t="n">
        <x:v>74</x:v>
      </x:c>
      <x:c r="I3" s="13">
        <x:f>MIN(B3/Parameters!$B$3,1)*100</x:f>
        <x:v>44.99999999999999</x:v>
      </x:c>
      <x:c r="J3" s="13">
        <x:f>MIN(C3/Parameters!$B$4,1)*100</x:f>
        <x:v>35</x:v>
      </x:c>
      <x:c r="K3" s="13">
        <x:f>MIN(D3/Parameters!$B$5,1)*100</x:f>
        <x:v>36.66666666666667</x:v>
      </x:c>
      <x:c r="L3" s="13">
        <x:f>MIN(E3/Parameters!$B$6,1)*100</x:f>
        <x:v>31</x:v>
      </x:c>
      <x:c r="M3" s="13">
        <x:f>MIN(MAX((F3-1)/(Parameters!$B$7-1),0),1)*100</x:f>
        <x:v>41.99999999999999</x:v>
      </x:c>
      <x:c r="N3" s="13">
        <x:f>MIN(G3/Parameters!$B$8,1)*100</x:f>
        <x:v>50</x:v>
      </x:c>
      <x:c r="O3" s="13">
        <x:f>MIN(H3/Parameters!$B$9,1)*100</x:f>
        <x:v>74</x:v>
      </x:c>
      <x:c r="P3" s="13">
        <x:f>I3*Parameters!$D$12+J3*Parameters!$D$13+K3*Parameters!$D$14+L3*Parameters!$D$15+M3*Parameters!$D$16+N3*Parameters!$D$17+O3*Parameters!$D$18</x:f>
        <x:v>41.15</x:v>
      </x:c>
      <x:c r="Q3" s="11">
        <x:f>IF(AND(F3&gt;Parameters!$B$21,D3&gt;Parameters!$B$22,E3&gt;Parameters!$B$23),Parameters!$B$24,1)</x:f>
        <x:v>1</x:v>
      </x:c>
      <x:c r="R3" s="13">
        <x:f>P3*Q3</x:f>
        <x:v>41.15</x:v>
      </x:c>
      <x:c r="S3" s="12">
        <x:f>IF(R3&lt;35,1,IF(R3&lt;55,2,IF(R3&lt;75,3,4)))</x:f>
        <x:v>2</x:v>
      </x:c>
      <x:c r="T3" t="str">
        <x:f>CHOOSE(S3,"Low","Medium","High","Critical")</x:f>
        <x:v>Medium</x:v>
      </x:c>
    </x:row>
    <x:row r="4">
      <x:c r="A4" t="inlineStr">
        <x:is>
          <x:t xml:space="preserve">Liquidity Risk Management</x:t>
        </x:is>
      </x:c>
      <x:c r="B4" s="10" t="n">
        <x:v>0.039</x:v>
      </x:c>
      <x:c r="C4" s="10" t="n">
        <x:v>0.018</x:v>
      </x:c>
      <x:c r="D4" s="10" t="n">
        <x:v>0.09</x:v>
      </x:c>
      <x:c r="E4" s="10" t="n">
        <x:v>0.054</x:v>
      </x:c>
      <x:c r="F4" s="11" t="n">
        <x:v>1.55</x:v>
      </x:c>
      <x:c r="G4" s="10" t="n">
        <x:v>0.09</x:v>
      </x:c>
      <x:c r="H4" s="12" t="n">
        <x:v>71</x:v>
      </x:c>
      <x:c r="I4" s="13">
        <x:f>MIN(B4/Parameters!$B$3,1)*100</x:f>
        <x:v>38.99999999999999</x:v>
      </x:c>
      <x:c r="J4" s="13">
        <x:f>MIN(C4/Parameters!$B$4,1)*100</x:f>
        <x:v>30</x:v>
      </x:c>
      <x:c r="K4" s="13">
        <x:f>MIN(D4/Parameters!$B$5,1)*100</x:f>
        <x:v>30</x:v>
      </x:c>
      <x:c r="L4" s="13">
        <x:f>MIN(E4/Parameters!$B$6,1)*100</x:f>
        <x:v>26.999999999999996</x:v>
      </x:c>
      <x:c r="M4" s="13">
        <x:f>MIN(MAX((F4-1)/(Parameters!$B$7-1),0),1)*100</x:f>
        <x:v>55.00000000000001</x:v>
      </x:c>
      <x:c r="N4" s="13">
        <x:f>MIN(G4/Parameters!$B$8,1)*100</x:f>
        <x:v>30</x:v>
      </x:c>
      <x:c r="O4" s="13">
        <x:f>MIN(H4/Parameters!$B$9,1)*100</x:f>
        <x:v>71</x:v>
      </x:c>
      <x:c r="P4" s="13">
        <x:f>I4*Parameters!$D$12+J4*Parameters!$D$13+K4*Parameters!$D$14+L4*Parameters!$D$15+M4*Parameters!$D$16+N4*Parameters!$D$17+O4*Parameters!$D$18</x:f>
        <x:v>37.14999999999999</x:v>
      </x:c>
      <x:c r="Q4" s="11">
        <x:f>IF(AND(F4&gt;Parameters!$B$21,D4&gt;Parameters!$B$22,E4&gt;Parameters!$B$23),Parameters!$B$24,1)</x:f>
        <x:v>1</x:v>
      </x:c>
      <x:c r="R4" s="13">
        <x:f>P4*Q4</x:f>
        <x:v>37.14999999999999</x:v>
      </x:c>
      <x:c r="S4" s="12">
        <x:f>IF(R4&lt;35,1,IF(R4&lt;55,2,IF(R4&lt;75,3,4)))</x:f>
        <x:v>2</x:v>
      </x:c>
      <x:c r="T4" t="str">
        <x:f>CHOOSE(S4,"Low","Medium","High","Critical")</x:f>
        <x:v>Medium</x:v>
      </x:c>
    </x:row>
    <x:row r="5">
      <x:c r="A5" t="inlineStr">
        <x:is>
          <x:t xml:space="preserve">Capital Management</x:t>
        </x:is>
      </x:c>
      <x:c r="B5" s="10" t="n">
        <x:v>0.021</x:v>
      </x:c>
      <x:c r="C5" s="10" t="n">
        <x:v>0.008999999999999999</x:v>
      </x:c>
      <x:c r="D5" s="10" t="n">
        <x:v>0.05</x:v>
      </x:c>
      <x:c r="E5" s="10" t="n">
        <x:v>0.038</x:v>
      </x:c>
      <x:c r="F5" s="11" t="n">
        <x:v>1.18</x:v>
      </x:c>
      <x:c r="G5" s="10" t="n">
        <x:v>0.08</x:v>
      </x:c>
      <x:c r="H5" s="12" t="n">
        <x:v>52</x:v>
      </x:c>
      <x:c r="I5" s="13">
        <x:f>MIN(B5/Parameters!$B$3,1)*100</x:f>
        <x:v>21</x:v>
      </x:c>
      <x:c r="J5" s="13">
        <x:f>MIN(C5/Parameters!$B$4,1)*100</x:f>
        <x:v>15</x:v>
      </x:c>
      <x:c r="K5" s="13">
        <x:f>MIN(D5/Parameters!$B$5,1)*100</x:f>
        <x:v>16.666666666666668</x:v>
      </x:c>
      <x:c r="L5" s="13">
        <x:f>MIN(E5/Parameters!$B$6,1)*100</x:f>
        <x:v>18.999999999999996</x:v>
      </x:c>
      <x:c r="M5" s="13">
        <x:f>MIN(MAX((F5-1)/(Parameters!$B$7-1),0),1)*100</x:f>
        <x:v>17.999999999999993</x:v>
      </x:c>
      <x:c r="N5" s="13">
        <x:f>MIN(G5/Parameters!$B$8,1)*100</x:f>
        <x:v>26.666666666666668</x:v>
      </x:c>
      <x:c r="O5" s="13">
        <x:f>MIN(H5/Parameters!$B$9,1)*100</x:f>
        <x:v>52</x:v>
      </x:c>
      <x:c r="P5" s="13">
        <x:f>I5*Parameters!$D$12+J5*Parameters!$D$13+K5*Parameters!$D$14+L5*Parameters!$D$15+M5*Parameters!$D$16+N5*Parameters!$D$17+O5*Parameters!$D$18</x:f>
        <x:v>20.516666666666666</x:v>
      </x:c>
      <x:c r="Q5" s="11">
        <x:f>IF(AND(F5&gt;Parameters!$B$21,D5&gt;Parameters!$B$22,E5&gt;Parameters!$B$23),Parameters!$B$24,1)</x:f>
        <x:v>1</x:v>
      </x:c>
      <x:c r="R5" s="13">
        <x:f>P5*Q5</x:f>
        <x:v>20.516666666666666</x:v>
      </x:c>
      <x:c r="S5" s="12">
        <x:f>IF(R5&lt;35,1,IF(R5&lt;55,2,IF(R5&lt;75,3,4)))</x:f>
        <x:v>1</x:v>
      </x:c>
      <x:c r="T5" t="str">
        <x:f>CHOOSE(S5,"Low","Medium","High","Critical")</x:f>
        <x:v>Low</x:v>
      </x:c>
    </x:row>
    <x:row r="6">
      <x:c r="A6" t="inlineStr">
        <x:is>
          <x:t xml:space="preserve">Treasury Operations</x:t>
        </x:is>
      </x:c>
      <x:c r="B6" s="10" t="n">
        <x:v>0.056</x:v>
      </x:c>
      <x:c r="C6" s="10" t="n">
        <x:v>0.028</x:v>
      </x:c>
      <x:c r="D6" s="10" t="n">
        <x:v>0.14</x:v>
      </x:c>
      <x:c r="E6" s="10" t="n">
        <x:v>0.081</x:v>
      </x:c>
      <x:c r="F6" s="11" t="n">
        <x:v>1.63</x:v>
      </x:c>
      <x:c r="G6" s="10" t="n">
        <x:v>0.17</x:v>
      </x:c>
      <x:c r="H6" s="12" t="n">
        <x:v>82</x:v>
      </x:c>
      <x:c r="I6" s="13">
        <x:f>MIN(B6/Parameters!$B$3,1)*100</x:f>
        <x:v>55.99999999999999</x:v>
      </x:c>
      <x:c r="J6" s="13">
        <x:f>MIN(C6/Parameters!$B$4,1)*100</x:f>
        <x:v>46.666666666666664</x:v>
      </x:c>
      <x:c r="K6" s="13">
        <x:f>MIN(D6/Parameters!$B$5,1)*100</x:f>
        <x:v>46.66666666666667</x:v>
      </x:c>
      <x:c r="L6" s="13">
        <x:f>MIN(E6/Parameters!$B$6,1)*100</x:f>
        <x:v>40.5</x:v>
      </x:c>
      <x:c r="M6" s="13">
        <x:f>MIN(MAX((F6-1)/(Parameters!$B$7-1),0),1)*100</x:f>
        <x:v>62.999999999999986</x:v>
      </x:c>
      <x:c r="N6" s="13">
        <x:f>MIN(G6/Parameters!$B$8,1)*100</x:f>
        <x:v>56.66666666666668</x:v>
      </x:c>
      <x:c r="O6" s="13">
        <x:f>MIN(H6/Parameters!$B$9,1)*100</x:f>
        <x:v>82</x:v>
      </x:c>
      <x:c r="P6" s="13">
        <x:f>I6*Parameters!$D$12+J6*Parameters!$D$13+K6*Parameters!$D$14+L6*Parameters!$D$15+M6*Parameters!$D$16+N6*Parameters!$D$17+O6*Parameters!$D$18</x:f>
        <x:v>52.824999999999996</x:v>
      </x:c>
      <x:c r="Q6" s="11">
        <x:f>IF(AND(F6&gt;Parameters!$B$21,D6&gt;Parameters!$B$22,E6&gt;Parameters!$B$23),Parameters!$B$24,1)</x:f>
        <x:v>1</x:v>
      </x:c>
      <x:c r="R6" s="13">
        <x:f>P6*Q6</x:f>
        <x:v>52.824999999999996</x:v>
      </x:c>
      <x:c r="S6" s="12">
        <x:f>IF(R6&lt;35,1,IF(R6&lt;55,2,IF(R6&lt;75,3,4)))</x:f>
        <x:v>2</x:v>
      </x:c>
      <x:c r="T6" t="str">
        <x:f>CHOOSE(S6,"Low","Medium","High","Critical")</x:f>
        <x:v>Medium</x:v>
      </x:c>
    </x:row>
    <x:row r="7">
      <x:c r="A7" t="inlineStr">
        <x:is>
          <x:t xml:space="preserve">Procurement</x:t>
        </x:is>
      </x:c>
      <x:c r="B7" s="10" t="n">
        <x:v>0.062</x:v>
      </x:c>
      <x:c r="C7" s="10" t="n">
        <x:v>0.034</x:v>
      </x:c>
      <x:c r="D7" s="10" t="n">
        <x:v>0.18</x:v>
      </x:c>
      <x:c r="E7" s="10" t="n">
        <x:v>0.125</x:v>
      </x:c>
      <x:c r="F7" s="11" t="n">
        <x:v>1.48</x:v>
      </x:c>
      <x:c r="G7" s="10" t="n">
        <x:v>0.19</x:v>
      </x:c>
      <x:c r="H7" s="12" t="n">
        <x:v>84</x:v>
      </x:c>
      <x:c r="I7" s="13">
        <x:f>MIN(B7/Parameters!$B$3,1)*100</x:f>
        <x:v>62</x:v>
      </x:c>
      <x:c r="J7" s="13">
        <x:f>MIN(C7/Parameters!$B$4,1)*100</x:f>
        <x:v>56.66666666666668</x:v>
      </x:c>
      <x:c r="K7" s="13">
        <x:f>MIN(D7/Parameters!$B$5,1)*100</x:f>
        <x:v>60</x:v>
      </x:c>
      <x:c r="L7" s="13">
        <x:f>MIN(E7/Parameters!$B$6,1)*100</x:f>
        <x:v>62.5</x:v>
      </x:c>
      <x:c r="M7" s="13">
        <x:f>MIN(MAX((F7-1)/(Parameters!$B$7-1),0),1)*100</x:f>
        <x:v>48</x:v>
      </x:c>
      <x:c r="N7" s="13">
        <x:f>MIN(G7/Parameters!$B$8,1)*100</x:f>
        <x:v>63.33333333333334</x:v>
      </x:c>
      <x:c r="O7" s="13">
        <x:f>MIN(H7/Parameters!$B$9,1)*100</x:f>
        <x:v>84</x:v>
      </x:c>
      <x:c r="P7" s="13">
        <x:f>I7*Parameters!$D$12+J7*Parameters!$D$13+K7*Parameters!$D$14+L7*Parameters!$D$15+M7*Parameters!$D$16+N7*Parameters!$D$17+O7*Parameters!$D$18</x:f>
        <x:v>59.841666666666676</x:v>
      </x:c>
      <x:c r="Q7" s="11">
        <x:f>IF(AND(F7&gt;Parameters!$B$21,D7&gt;Parameters!$B$22,E7&gt;Parameters!$B$23),Parameters!$B$24,1)</x:f>
        <x:v>1</x:v>
      </x:c>
      <x:c r="R7" s="13">
        <x:f>P7*Q7</x:f>
        <x:v>59.841666666666676</x:v>
      </x:c>
      <x:c r="S7" s="12">
        <x:f>IF(R7&lt;35,1,IF(R7&lt;55,2,IF(R7&lt;75,3,4)))</x:f>
        <x:v>3</x:v>
      </x:c>
      <x:c r="T7" t="str">
        <x:f>CHOOSE(S7,"Low","Medium","High","Critical")</x:f>
        <x:v>High</x:v>
      </x:c>
    </x:row>
    <x:row r="8">
      <x:c r="A8" t="inlineStr">
        <x:is>
          <x:t xml:space="preserve">Accounts Payable</x:t>
        </x:is>
      </x:c>
      <x:c r="B8" s="10" t="n">
        <x:v>0.075</x:v>
      </x:c>
      <x:c r="C8" s="10" t="n">
        <x:v>0.041</x:v>
      </x:c>
      <x:c r="D8" s="10" t="n">
        <x:v>0.22</x:v>
      </x:c>
      <x:c r="E8" s="10" t="n">
        <x:v>0.152</x:v>
      </x:c>
      <x:c r="F8" s="11" t="n">
        <x:v>1.72</x:v>
      </x:c>
      <x:c r="G8" s="10" t="n">
        <x:v>0.21</x:v>
      </x:c>
      <x:c r="H8" s="12" t="n">
        <x:v>89</x:v>
      </x:c>
      <x:c r="I8" s="13">
        <x:f>MIN(B8/Parameters!$B$3,1)*100</x:f>
        <x:v>74.99999999999999</x:v>
      </x:c>
      <x:c r="J8" s="13">
        <x:f>MIN(C8/Parameters!$B$4,1)*100</x:f>
        <x:v>68.33333333333333</x:v>
      </x:c>
      <x:c r="K8" s="13">
        <x:f>MIN(D8/Parameters!$B$5,1)*100</x:f>
        <x:v>73.33333333333334</x:v>
      </x:c>
      <x:c r="L8" s="13">
        <x:f>MIN(E8/Parameters!$B$6,1)*100</x:f>
        <x:v>75.99999999999999</x:v>
      </x:c>
      <x:c r="M8" s="13">
        <x:f>MIN(MAX((F8-1)/(Parameters!$B$7-1),0),1)*100</x:f>
        <x:v>72</x:v>
      </x:c>
      <x:c r="N8" s="13">
        <x:f>MIN(G8/Parameters!$B$8,1)*100</x:f>
        <x:v>70</x:v>
      </x:c>
      <x:c r="O8" s="13">
        <x:f>MIN(H8/Parameters!$B$9,1)*100</x:f>
        <x:v>89</x:v>
      </x:c>
      <x:c r="P8" s="13">
        <x:f>I8*Parameters!$D$12+J8*Parameters!$D$13+K8*Parameters!$D$14+L8*Parameters!$D$15+M8*Parameters!$D$16+N8*Parameters!$D$17+O8*Parameters!$D$18</x:f>
        <x:v>73.31666666666666</x:v>
      </x:c>
      <x:c r="Q8" s="11">
        <x:f>IF(AND(F8&gt;Parameters!$B$21,D8&gt;Parameters!$B$22,E8&gt;Parameters!$B$23),Parameters!$B$24,1)</x:f>
        <x:v>1.15</x:v>
      </x:c>
      <x:c r="R8" s="13">
        <x:f>P8*Q8</x:f>
        <x:v>84.31416666666665</x:v>
      </x:c>
      <x:c r="S8" s="12">
        <x:f>IF(R8&lt;35,1,IF(R8&lt;55,2,IF(R8&lt;75,3,4)))</x:f>
        <x:v>4</x:v>
      </x:c>
      <x:c r="T8" t="str">
        <x:f>CHOOSE(S8,"Low","Medium","High","Critical")</x:f>
        <x:v>Critical</x:v>
      </x:c>
    </x:row>
    <x:row r="9">
      <x:c r="A9" t="inlineStr">
        <x:is>
          <x:t xml:space="preserve">Accounts Receivable</x:t>
        </x:is>
      </x:c>
      <x:c r="B9" s="10" t="n">
        <x:v>0.06900000000000001</x:v>
      </x:c>
      <x:c r="C9" s="10" t="n">
        <x:v>0.037</x:v>
      </x:c>
      <x:c r="D9" s="10" t="n">
        <x:v>0.2</x:v>
      </x:c>
      <x:c r="E9" s="10" t="n">
        <x:v>0.138</x:v>
      </x:c>
      <x:c r="F9" s="11" t="n">
        <x:v>1.58</x:v>
      </x:c>
      <x:c r="G9" s="10" t="n">
        <x:v>0.18</x:v>
      </x:c>
      <x:c r="H9" s="12" t="n">
        <x:v>86</x:v>
      </x:c>
      <x:c r="I9" s="13">
        <x:f>MIN(B9/Parameters!$B$3,1)*100</x:f>
        <x:v>69</x:v>
      </x:c>
      <x:c r="J9" s="13">
        <x:f>MIN(C9/Parameters!$B$4,1)*100</x:f>
        <x:v>61.66666666666667</x:v>
      </x:c>
      <x:c r="K9" s="13">
        <x:f>MIN(D9/Parameters!$B$5,1)*100</x:f>
        <x:v>66.66666666666667</x:v>
      </x:c>
      <x:c r="L9" s="13">
        <x:f>MIN(E9/Parameters!$B$6,1)*100</x:f>
        <x:v>69</x:v>
      </x:c>
      <x:c r="M9" s="13">
        <x:f>MIN(MAX((F9-1)/(Parameters!$B$7-1),0),1)*100</x:f>
        <x:v>58.00000000000001</x:v>
      </x:c>
      <x:c r="N9" s="13">
        <x:f>MIN(G9/Parameters!$B$8,1)*100</x:f>
        <x:v>60</x:v>
      </x:c>
      <x:c r="O9" s="13">
        <x:f>MIN(H9/Parameters!$B$9,1)*100</x:f>
        <x:v>86</x:v>
      </x:c>
      <x:c r="P9" s="13">
        <x:f>I9*Parameters!$D$12+J9*Parameters!$D$13+K9*Parameters!$D$14+L9*Parameters!$D$15+M9*Parameters!$D$16+N9*Parameters!$D$17+O9*Parameters!$D$18</x:f>
        <x:v>65.48333333333335</x:v>
      </x:c>
      <x:c r="Q9" s="11">
        <x:f>IF(AND(F9&gt;Parameters!$B$21,D9&gt;Parameters!$B$22,E9&gt;Parameters!$B$23),Parameters!$B$24,1)</x:f>
        <x:v>1</x:v>
      </x:c>
      <x:c r="R9" s="13">
        <x:f>P9*Q9</x:f>
        <x:v>65.48333333333335</x:v>
      </x:c>
      <x:c r="S9" s="12">
        <x:f>IF(R9&lt;35,1,IF(R9&lt;55,2,IF(R9&lt;75,3,4)))</x:f>
        <x:v>3</x:v>
      </x:c>
      <x:c r="T9" t="str">
        <x:f>CHOOSE(S9,"Low","Medium","High","Critical")</x:f>
        <x:v>High</x:v>
      </x:c>
    </x:row>
    <x:row r="10">
      <x:c r="A10" t="inlineStr">
        <x:is>
          <x:t xml:space="preserve">Payroll</x:t>
        </x:is>
      </x:c>
      <x:c r="B10" s="10" t="n">
        <x:v>0.024</x:v>
      </x:c>
      <x:c r="C10" s="10" t="n">
        <x:v>0.013</x:v>
      </x:c>
      <x:c r="D10" s="10" t="n">
        <x:v>0.07000000000000001</x:v>
      </x:c>
      <x:c r="E10" s="10" t="n">
        <x:v>0.049</x:v>
      </x:c>
      <x:c r="F10" s="11" t="n">
        <x:v>1.1</x:v>
      </x:c>
      <x:c r="G10" s="10" t="n">
        <x:v>0.06</x:v>
      </x:c>
      <x:c r="H10" s="12" t="n">
        <x:v>48</x:v>
      </x:c>
      <x:c r="I10" s="13">
        <x:f>MIN(B10/Parameters!$B$3,1)*100</x:f>
        <x:v>24</x:v>
      </x:c>
      <x:c r="J10" s="13">
        <x:f>MIN(C10/Parameters!$B$4,1)*100</x:f>
        <x:v>21.666666666666668</x:v>
      </x:c>
      <x:c r="K10" s="13">
        <x:f>MIN(D10/Parameters!$B$5,1)*100</x:f>
        <x:v>23.333333333333336</x:v>
      </x:c>
      <x:c r="L10" s="13">
        <x:f>MIN(E10/Parameters!$B$6,1)*100</x:f>
        <x:v>24.5</x:v>
      </x:c>
      <x:c r="M10" s="13">
        <x:f>MIN(MAX((F10-1)/(Parameters!$B$7-1),0),1)*100</x:f>
        <x:v>10.000000000000009</x:v>
      </x:c>
      <x:c r="N10" s="13">
        <x:f>MIN(G10/Parameters!$B$8,1)*100</x:f>
        <x:v>20</x:v>
      </x:c>
      <x:c r="O10" s="13">
        <x:f>MIN(H10/Parameters!$B$9,1)*100</x:f>
        <x:v>48</x:v>
      </x:c>
      <x:c r="P10" s="13">
        <x:f>I10*Parameters!$D$12+J10*Parameters!$D$13+K10*Parameters!$D$14+L10*Parameters!$D$15+M10*Parameters!$D$16+N10*Parameters!$D$17+O10*Parameters!$D$18</x:f>
        <x:v>22.208333333333336</x:v>
      </x:c>
      <x:c r="Q10" s="11">
        <x:f>IF(AND(F10&gt;Parameters!$B$21,D10&gt;Parameters!$B$22,E10&gt;Parameters!$B$23),Parameters!$B$24,1)</x:f>
        <x:v>1</x:v>
      </x:c>
      <x:c r="R10" s="13">
        <x:f>P10*Q10</x:f>
        <x:v>22.208333333333336</x:v>
      </x:c>
      <x:c r="S10" s="12">
        <x:f>IF(R10&lt;35,1,IF(R10&lt;55,2,IF(R10&lt;75,3,4)))</x:f>
        <x:v>1</x:v>
      </x:c>
      <x:c r="T10" t="str">
        <x:f>CHOOSE(S10,"Low","Medium","High","Critical")</x:f>
        <x:v>Low</x:v>
      </x:c>
    </x:row>
    <x:row r="11">
      <x:c r="A11" t="inlineStr">
        <x:is>
          <x:t xml:space="preserve">Supply Chain &amp; Logistics</x:t>
        </x:is>
      </x:c>
      <x:c r="B11" s="10" t="n">
        <x:v>0.083</x:v>
      </x:c>
      <x:c r="C11" s="10" t="n">
        <x:v>0.049</x:v>
      </x:c>
      <x:c r="D11" s="10" t="n">
        <x:v>0.26</x:v>
      </x:c>
      <x:c r="E11" s="10" t="n">
        <x:v>0.141</x:v>
      </x:c>
      <x:c r="F11" s="11" t="n">
        <x:v>1.78</x:v>
      </x:c>
      <x:c r="G11" s="10" t="n">
        <x:v>0.23</x:v>
      </x:c>
      <x:c r="H11" s="12" t="n">
        <x:v>92</x:v>
      </x:c>
      <x:c r="I11" s="13">
        <x:f>MIN(B11/Parameters!$B$3,1)*100</x:f>
        <x:v>83</x:v>
      </x:c>
      <x:c r="J11" s="13">
        <x:f>MIN(C11/Parameters!$B$4,1)*100</x:f>
        <x:v>81.66666666666667</x:v>
      </x:c>
      <x:c r="K11" s="13">
        <x:f>MIN(D11/Parameters!$B$5,1)*100</x:f>
        <x:v>86.66666666666667</x:v>
      </x:c>
      <x:c r="L11" s="13">
        <x:f>MIN(E11/Parameters!$B$6,1)*100</x:f>
        <x:v>70.49999999999999</x:v>
      </x:c>
      <x:c r="M11" s="13">
        <x:f>MIN(MAX((F11-1)/(Parameters!$B$7-1),0),1)*100</x:f>
        <x:v>78</x:v>
      </x:c>
      <x:c r="N11" s="13">
        <x:f>MIN(G11/Parameters!$B$8,1)*100</x:f>
        <x:v>76.66666666666667</x:v>
      </x:c>
      <x:c r="O11" s="13">
        <x:f>MIN(H11/Parameters!$B$9,1)*100</x:f>
        <x:v>92</x:v>
      </x:c>
      <x:c r="P11" s="13">
        <x:f>I11*Parameters!$D$12+J11*Parameters!$D$13+K11*Parameters!$D$14+L11*Parameters!$D$15+M11*Parameters!$D$16+N11*Parameters!$D$17+O11*Parameters!$D$18</x:f>
        <x:v>80.475</x:v>
      </x:c>
      <x:c r="Q11" s="11">
        <x:f>IF(AND(F11&gt;Parameters!$B$21,D11&gt;Parameters!$B$22,E11&gt;Parameters!$B$23),Parameters!$B$24,1)</x:f>
        <x:v>1.15</x:v>
      </x:c>
      <x:c r="R11" s="13">
        <x:f>P11*Q11</x:f>
        <x:v>92.54624999999999</x:v>
      </x:c>
      <x:c r="S11" s="12">
        <x:f>IF(R11&lt;35,1,IF(R11&lt;55,2,IF(R11&lt;75,3,4)))</x:f>
        <x:v>4</x:v>
      </x:c>
      <x:c r="T11" t="str">
        <x:f>CHOOSE(S11,"Low","Medium","High","Critical")</x:f>
        <x:v>Critical</x:v>
      </x:c>
    </x:row>
    <x:row r="12">
      <x:c r="A12" t="inlineStr">
        <x:is>
          <x:t xml:space="preserve">Cybersecurity Program</x:t>
        </x:is>
      </x:c>
      <x:c r="B12" s="10" t="n">
        <x:v>0.047</x:v>
      </x:c>
      <x:c r="C12" s="10" t="n">
        <x:v>0.022</x:v>
      </x:c>
      <x:c r="D12" s="10" t="n">
        <x:v>0.13</x:v>
      </x:c>
      <x:c r="E12" s="10" t="n">
        <x:v>0.061</x:v>
      </x:c>
      <x:c r="F12" s="11" t="n">
        <x:v>1.52</x:v>
      </x:c>
      <x:c r="G12" s="10" t="n">
        <x:v>0.18</x:v>
      </x:c>
      <x:c r="H12" s="12" t="n">
        <x:v>79</x:v>
      </x:c>
      <x:c r="I12" s="13">
        <x:f>MIN(B12/Parameters!$B$3,1)*100</x:f>
        <x:v>47</x:v>
      </x:c>
      <x:c r="J12" s="13">
        <x:f>MIN(C12/Parameters!$B$4,1)*100</x:f>
        <x:v>36.666666666666664</x:v>
      </x:c>
      <x:c r="K12" s="13">
        <x:f>MIN(D12/Parameters!$B$5,1)*100</x:f>
        <x:v>43.333333333333336</x:v>
      </x:c>
      <x:c r="L12" s="13">
        <x:f>MIN(E12/Parameters!$B$6,1)*100</x:f>
        <x:v>30.5</x:v>
      </x:c>
      <x:c r="M12" s="13">
        <x:f>MIN(MAX((F12-1)/(Parameters!$B$7-1),0),1)*100</x:f>
        <x:v>52</x:v>
      </x:c>
      <x:c r="N12" s="13">
        <x:f>MIN(G12/Parameters!$B$8,1)*100</x:f>
        <x:v>60</x:v>
      </x:c>
      <x:c r="O12" s="13">
        <x:f>MIN(H12/Parameters!$B$9,1)*100</x:f>
        <x:v>79</x:v>
      </x:c>
      <x:c r="P12" s="13">
        <x:f>I12*Parameters!$D$12+J12*Parameters!$D$13+K12*Parameters!$D$14+L12*Parameters!$D$15+M12*Parameters!$D$16+N12*Parameters!$D$17+O12*Parameters!$D$18</x:f>
        <x:v>45.55833333333334</x:v>
      </x:c>
      <x:c r="Q12" s="11">
        <x:f>IF(AND(F12&gt;Parameters!$B$21,D12&gt;Parameters!$B$22,E12&gt;Parameters!$B$23),Parameters!$B$24,1)</x:f>
        <x:v>1</x:v>
      </x:c>
      <x:c r="R12" s="13">
        <x:f>P12*Q12</x:f>
        <x:v>45.55833333333334</x:v>
      </x:c>
      <x:c r="S12" s="12">
        <x:f>IF(R12&lt;35,1,IF(R12&lt;55,2,IF(R12&lt;75,3,4)))</x:f>
        <x:v>2</x:v>
      </x:c>
      <x:c r="T12" t="str">
        <x:f>CHOOSE(S12,"Low","Medium","High","Critical")</x:f>
        <x:v>Medium</x:v>
      </x:c>
    </x:row>
    <x:row r="13">
      <x:c r="A13" t="inlineStr">
        <x:is>
          <x:t xml:space="preserve">IT General Controls (ITGCs)</x:t>
        </x:is>
      </x:c>
      <x:c r="B13" s="10" t="n">
        <x:v>0.064</x:v>
      </x:c>
      <x:c r="C13" s="10" t="n">
        <x:v>0.038</x:v>
      </x:c>
      <x:c r="D13" s="10" t="n">
        <x:v>0.19</x:v>
      </x:c>
      <x:c r="E13" s="10" t="n">
        <x:v>0.113</x:v>
      </x:c>
      <x:c r="F13" s="11" t="n">
        <x:v>1.6</x:v>
      </x:c>
      <x:c r="G13" s="10" t="n">
        <x:v>0.22</x:v>
      </x:c>
      <x:c r="H13" s="12" t="n">
        <x:v>87</x:v>
      </x:c>
      <x:c r="I13" s="13">
        <x:f>MIN(B13/Parameters!$B$3,1)*100</x:f>
        <x:v>64</x:v>
      </x:c>
      <x:c r="J13" s="13">
        <x:f>MIN(C13/Parameters!$B$4,1)*100</x:f>
        <x:v>63.33333333333333</x:v>
      </x:c>
      <x:c r="K13" s="13">
        <x:f>MIN(D13/Parameters!$B$5,1)*100</x:f>
        <x:v>63.33333333333334</x:v>
      </x:c>
      <x:c r="L13" s="13">
        <x:f>MIN(E13/Parameters!$B$6,1)*100</x:f>
        <x:v>56.49999999999999</x:v>
      </x:c>
      <x:c r="M13" s="13">
        <x:f>MIN(MAX((F13-1)/(Parameters!$B$7-1),0),1)*100</x:f>
        <x:v>60.00000000000001</x:v>
      </x:c>
      <x:c r="N13" s="13">
        <x:f>MIN(G13/Parameters!$B$8,1)*100</x:f>
        <x:v>73.33333333333334</x:v>
      </x:c>
      <x:c r="O13" s="13">
        <x:f>MIN(H13/Parameters!$B$9,1)*100</x:f>
        <x:v>87</x:v>
      </x:c>
      <x:c r="P13" s="13">
        <x:f>I13*Parameters!$D$12+J13*Parameters!$D$13+K13*Parameters!$D$14+L13*Parameters!$D$15+M13*Parameters!$D$16+N13*Parameters!$D$17+O13*Parameters!$D$18</x:f>
        <x:v>64.125</x:v>
      </x:c>
      <x:c r="Q13" s="11">
        <x:f>IF(AND(F13&gt;Parameters!$B$21,D13&gt;Parameters!$B$22,E13&gt;Parameters!$B$23),Parameters!$B$24,1)</x:f>
        <x:v>1</x:v>
      </x:c>
      <x:c r="R13" s="13">
        <x:f>P13*Q13</x:f>
        <x:v>64.125</x:v>
      </x:c>
      <x:c r="S13" s="12">
        <x:f>IF(R13&lt;35,1,IF(R13&lt;55,2,IF(R13&lt;75,3,4)))</x:f>
        <x:v>3</x:v>
      </x:c>
      <x:c r="T13" t="str">
        <x:f>CHOOSE(S13,"Low","Medium","High","Critical")</x:f>
        <x:v>High</x:v>
      </x:c>
    </x:row>
    <x:row r="14">
      <x:c r="A14" t="inlineStr">
        <x:is>
          <x:t xml:space="preserve">Data Governance</x:t>
        </x:is>
      </x:c>
      <x:c r="B14" s="10" t="n">
        <x:v>0.055</x:v>
      </x:c>
      <x:c r="C14" s="10" t="n">
        <x:v>0.031</x:v>
      </x:c>
      <x:c r="D14" s="10" t="n">
        <x:v>0.17</x:v>
      </x:c>
      <x:c r="E14" s="10" t="n">
        <x:v>0.097</x:v>
      </x:c>
      <x:c r="F14" s="11" t="n">
        <x:v>1.45</x:v>
      </x:c>
      <x:c r="G14" s="10" t="n">
        <x:v>0.16</x:v>
      </x:c>
      <x:c r="H14" s="12" t="n">
        <x:v>75</x:v>
      </x:c>
      <x:c r="I14" s="13">
        <x:f>MIN(B14/Parameters!$B$3,1)*100</x:f>
        <x:v>54.99999999999999</x:v>
      </x:c>
      <x:c r="J14" s="13">
        <x:f>MIN(C14/Parameters!$B$4,1)*100</x:f>
        <x:v>51.66666666666667</x:v>
      </x:c>
      <x:c r="K14" s="13">
        <x:f>MIN(D14/Parameters!$B$5,1)*100</x:f>
        <x:v>56.66666666666668</x:v>
      </x:c>
      <x:c r="L14" s="13">
        <x:f>MIN(E14/Parameters!$B$6,1)*100</x:f>
        <x:v>48.5</x:v>
      </x:c>
      <x:c r="M14" s="13">
        <x:f>MIN(MAX((F14-1)/(Parameters!$B$7-1),0),1)*100</x:f>
        <x:v>44.99999999999999</x:v>
      </x:c>
      <x:c r="N14" s="13">
        <x:f>MIN(G14/Parameters!$B$8,1)*100</x:f>
        <x:v>53.333333333333336</x:v>
      </x:c>
      <x:c r="O14" s="13">
        <x:f>MIN(H14/Parameters!$B$9,1)*100</x:f>
        <x:v>75</x:v>
      </x:c>
      <x:c r="P14" s="13">
        <x:f>I14*Parameters!$D$12+J14*Parameters!$D$13+K14*Parameters!$D$14+L14*Parameters!$D$15+M14*Parameters!$D$16+N14*Parameters!$D$17+O14*Parameters!$D$18</x:f>
        <x:v>52.94166666666667</x:v>
      </x:c>
      <x:c r="Q14" s="11">
        <x:f>IF(AND(F14&gt;Parameters!$B$21,D14&gt;Parameters!$B$22,E14&gt;Parameters!$B$23),Parameters!$B$24,1)</x:f>
        <x:v>1</x:v>
      </x:c>
      <x:c r="R14" s="13">
        <x:f>P14*Q14</x:f>
        <x:v>52.94166666666667</x:v>
      </x:c>
      <x:c r="S14" s="12">
        <x:f>IF(R14&lt;35,1,IF(R14&lt;55,2,IF(R14&lt;75,3,4)))</x:f>
        <x:v>2</x:v>
      </x:c>
      <x:c r="T14" t="str">
        <x:f>CHOOSE(S14,"Low","Medium","High","Critical")</x:f>
        <x:v>Medium</x:v>
      </x:c>
    </x:row>
    <x:row r="15">
      <x:c r="A15" t="inlineStr">
        <x:is>
          <x:t xml:space="preserve">System Implementations / Change</x:t>
        </x:is>
      </x:c>
      <x:c r="B15" s="10" t="n">
        <x:v>0.078</x:v>
      </x:c>
      <x:c r="C15" s="10" t="n">
        <x:v>0.046</x:v>
      </x:c>
      <x:c r="D15" s="10" t="n">
        <x:v>0.24</x:v>
      </x:c>
      <x:c r="E15" s="10" t="n">
        <x:v>0.165</x:v>
      </x:c>
      <x:c r="F15" s="11" t="n">
        <x:v>1.83</x:v>
      </x:c>
      <x:c r="G15" s="10" t="n">
        <x:v>0.25</x:v>
      </x:c>
      <x:c r="H15" s="12" t="n">
        <x:v>94</x:v>
      </x:c>
      <x:c r="I15" s="13">
        <x:f>MIN(B15/Parameters!$B$3,1)*100</x:f>
        <x:v>77.99999999999999</x:v>
      </x:c>
      <x:c r="J15" s="13">
        <x:f>MIN(C15/Parameters!$B$4,1)*100</x:f>
        <x:v>76.66666666666667</x:v>
      </x:c>
      <x:c r="K15" s="13">
        <x:f>MIN(D15/Parameters!$B$5,1)*100</x:f>
        <x:v>80</x:v>
      </x:c>
      <x:c r="L15" s="13">
        <x:f>MIN(E15/Parameters!$B$6,1)*100</x:f>
        <x:v>82.5</x:v>
      </x:c>
      <x:c r="M15" s="13">
        <x:f>MIN(MAX((F15-1)/(Parameters!$B$7-1),0),1)*100</x:f>
        <x:v>83</x:v>
      </x:c>
      <x:c r="N15" s="13">
        <x:f>MIN(G15/Parameters!$B$8,1)*100</x:f>
        <x:v>83.33333333333334</x:v>
      </x:c>
      <x:c r="O15" s="13">
        <x:f>MIN(H15/Parameters!$B$9,1)*100</x:f>
        <x:v>94</x:v>
      </x:c>
      <x:c r="P15" s="13">
        <x:f>I15*Parameters!$D$12+J15*Parameters!$D$13+K15*Parameters!$D$14+L15*Parameters!$D$15+M15*Parameters!$D$16+N15*Parameters!$D$17+O15*Parameters!$D$18</x:f>
        <x:v>80.79166666666667</x:v>
      </x:c>
      <x:c r="Q15" s="11">
        <x:f>IF(AND(F15&gt;Parameters!$B$21,D15&gt;Parameters!$B$22,E15&gt;Parameters!$B$23),Parameters!$B$24,1)</x:f>
        <x:v>1.15</x:v>
      </x:c>
      <x:c r="R15" s="13">
        <x:f>P15*Q15</x:f>
        <x:v>92.91041666666666</x:v>
      </x:c>
      <x:c r="S15" s="12">
        <x:f>IF(R15&lt;35,1,IF(R15&lt;55,2,IF(R15&lt;75,3,4)))</x:f>
        <x:v>4</x:v>
      </x:c>
      <x:c r="T15" t="str">
        <x:f>CHOOSE(S15,"Low","Medium","High","Critical")</x:f>
        <x:v>Critical</x:v>
      </x:c>
    </x:row>
    <x:row r="16">
      <x:c r="A16" t="inlineStr">
        <x:is>
          <x:t xml:space="preserve">Access Management (IAM)</x:t>
        </x:is>
      </x:c>
      <x:c r="B16" s="10" t="n">
        <x:v>0.067</x:v>
      </x:c>
      <x:c r="C16" s="10" t="n">
        <x:v>0.039</x:v>
      </x:c>
      <x:c r="D16" s="10" t="n">
        <x:v>0.21</x:v>
      </x:c>
      <x:c r="E16" s="10" t="n">
        <x:v>0.147</x:v>
      </x:c>
      <x:c r="F16" s="11" t="n">
        <x:v>1.68</x:v>
      </x:c>
      <x:c r="G16" s="10" t="n">
        <x:v>0.2</x:v>
      </x:c>
      <x:c r="H16" s="12" t="n">
        <x:v>88</x:v>
      </x:c>
      <x:c r="I16" s="13">
        <x:f>MIN(B16/Parameters!$B$3,1)*100</x:f>
        <x:v>67</x:v>
      </x:c>
      <x:c r="J16" s="13">
        <x:f>MIN(C16/Parameters!$B$4,1)*100</x:f>
        <x:v>65</x:v>
      </x:c>
      <x:c r="K16" s="13">
        <x:f>MIN(D16/Parameters!$B$5,1)*100</x:f>
        <x:v>70</x:v>
      </x:c>
      <x:c r="L16" s="13">
        <x:f>MIN(E16/Parameters!$B$6,1)*100</x:f>
        <x:v>73.49999999999999</x:v>
      </x:c>
      <x:c r="M16" s="13">
        <x:f>MIN(MAX((F16-1)/(Parameters!$B$7-1),0),1)*100</x:f>
        <x:v>68</x:v>
      </x:c>
      <x:c r="N16" s="13">
        <x:f>MIN(G16/Parameters!$B$8,1)*100</x:f>
        <x:v>66.66666666666667</x:v>
      </x:c>
      <x:c r="O16" s="13">
        <x:f>MIN(H16/Parameters!$B$9,1)*100</x:f>
        <x:v>88</x:v>
      </x:c>
      <x:c r="P16" s="13">
        <x:f>I16*Parameters!$D$12+J16*Parameters!$D$13+K16*Parameters!$D$14+L16*Parameters!$D$15+M16*Parameters!$D$16+N16*Parameters!$D$17+O16*Parameters!$D$18</x:f>
        <x:v>69.19166666666668</x:v>
      </x:c>
      <x:c r="Q16" s="11">
        <x:f>IF(AND(F16&gt;Parameters!$B$21,D16&gt;Parameters!$B$22,E16&gt;Parameters!$B$23),Parameters!$B$24,1)</x:f>
        <x:v>1.15</x:v>
      </x:c>
      <x:c r="R16" s="13">
        <x:f>P16*Q16</x:f>
        <x:v>79.57041666666667</x:v>
      </x:c>
      <x:c r="S16" s="12">
        <x:f>IF(R16&lt;35,1,IF(R16&lt;55,2,IF(R16&lt;75,3,4)))</x:f>
        <x:v>4</x:v>
      </x:c>
      <x:c r="T16" t="str">
        <x:f>CHOOSE(S16,"Low","Medium","High","Critical")</x:f>
        <x:v>Critical</x:v>
      </x:c>
    </x:row>
    <x:row r="17">
      <x:c r="A17" t="inlineStr">
        <x:is>
          <x:t xml:space="preserve">Regulatory Compliance</x:t>
        </x:is>
      </x:c>
      <x:c r="B17" s="10" t="n">
        <x:v>0.049</x:v>
      </x:c>
      <x:c r="C17" s="10" t="n">
        <x:v>0.024</x:v>
      </x:c>
      <x:c r="D17" s="10" t="n">
        <x:v>0.14</x:v>
      </x:c>
      <x:c r="E17" s="10" t="n">
        <x:v>0.078</x:v>
      </x:c>
      <x:c r="F17" s="11" t="n">
        <x:v>1.44</x:v>
      </x:c>
      <x:c r="G17" s="10" t="n">
        <x:v>0.13</x:v>
      </x:c>
      <x:c r="H17" s="12" t="n">
        <x:v>72</x:v>
      </x:c>
      <x:c r="I17" s="13">
        <x:f>MIN(B17/Parameters!$B$3,1)*100</x:f>
        <x:v>49</x:v>
      </x:c>
      <x:c r="J17" s="13">
        <x:f>MIN(C17/Parameters!$B$4,1)*100</x:f>
        <x:v>40</x:v>
      </x:c>
      <x:c r="K17" s="13">
        <x:f>MIN(D17/Parameters!$B$5,1)*100</x:f>
        <x:v>46.66666666666667</x:v>
      </x:c>
      <x:c r="L17" s="13">
        <x:f>MIN(E17/Parameters!$B$6,1)*100</x:f>
        <x:v>38.99999999999999</x:v>
      </x:c>
      <x:c r="M17" s="13">
        <x:f>MIN(MAX((F17-1)/(Parameters!$B$7-1),0),1)*100</x:f>
        <x:v>43.99999999999999</x:v>
      </x:c>
      <x:c r="N17" s="13">
        <x:f>MIN(G17/Parameters!$B$8,1)*100</x:f>
        <x:v>43.333333333333336</x:v>
      </x:c>
      <x:c r="O17" s="13">
        <x:f>MIN(H17/Parameters!$B$9,1)*100</x:f>
        <x:v>72</x:v>
      </x:c>
      <x:c r="P17" s="13">
        <x:f>I17*Parameters!$D$12+J17*Parameters!$D$13+K17*Parameters!$D$14+L17*Parameters!$D$15+M17*Parameters!$D$16+N17*Parameters!$D$17+O17*Parameters!$D$18</x:f>
        <x:v>45.18333333333334</x:v>
      </x:c>
      <x:c r="Q17" s="11">
        <x:f>IF(AND(F17&gt;Parameters!$B$21,D17&gt;Parameters!$B$22,E17&gt;Parameters!$B$23),Parameters!$B$24,1)</x:f>
        <x:v>1</x:v>
      </x:c>
      <x:c r="R17" s="13">
        <x:f>P17*Q17</x:f>
        <x:v>45.18333333333334</x:v>
      </x:c>
      <x:c r="S17" s="12">
        <x:f>IF(R17&lt;35,1,IF(R17&lt;55,2,IF(R17&lt;75,3,4)))</x:f>
        <x:v>2</x:v>
      </x:c>
      <x:c r="T17" t="str">
        <x:f>CHOOSE(S17,"Low","Medium","High","Critical")</x:f>
        <x:v>Medium</x:v>
      </x:c>
    </x:row>
    <x:row r="18">
      <x:c r="A18" t="inlineStr">
        <x:is>
          <x:t xml:space="preserve">AML / Sanctions</x:t>
        </x:is>
      </x:c>
      <x:c r="B18" s="10" t="n">
        <x:v>0.092</x:v>
      </x:c>
      <x:c r="C18" s="10" t="n">
        <x:v>0.051</x:v>
      </x:c>
      <x:c r="D18" s="10" t="n">
        <x:v>0.29</x:v>
      </x:c>
      <x:c r="E18" s="10" t="n">
        <x:v>0.183</x:v>
      </x:c>
      <x:c r="F18" s="11" t="n">
        <x:v>1.95</x:v>
      </x:c>
      <x:c r="G18" s="10" t="n">
        <x:v>0.27</x:v>
      </x:c>
      <x:c r="H18" s="12" t="n">
        <x:v>97</x:v>
      </x:c>
      <x:c r="I18" s="13">
        <x:f>MIN(B18/Parameters!$B$3,1)*100</x:f>
        <x:v>92</x:v>
      </x:c>
      <x:c r="J18" s="13">
        <x:f>MIN(C18/Parameters!$B$4,1)*100</x:f>
        <x:v>85</x:v>
      </x:c>
      <x:c r="K18" s="13">
        <x:f>MIN(D18/Parameters!$B$5,1)*100</x:f>
        <x:v>96.66666666666667</x:v>
      </x:c>
      <x:c r="L18" s="13">
        <x:f>MIN(E18/Parameters!$B$6,1)*100</x:f>
        <x:v>91.49999999999999</x:v>
      </x:c>
      <x:c r="M18" s="13">
        <x:f>MIN(MAX((F18-1)/(Parameters!$B$7-1),0),1)*100</x:f>
        <x:v>95</x:v>
      </x:c>
      <x:c r="N18" s="13">
        <x:f>MIN(G18/Parameters!$B$8,1)*100</x:f>
        <x:v>90.00000000000001</x:v>
      </x:c>
      <x:c r="O18" s="13">
        <x:f>MIN(H18/Parameters!$B$9,1)*100</x:f>
        <x:v>97</x:v>
      </x:c>
      <x:c r="P18" s="13">
        <x:f>I18*Parameters!$D$12+J18*Parameters!$D$13+K18*Parameters!$D$14+L18*Parameters!$D$15+M18*Parameters!$D$16+N18*Parameters!$D$17+O18*Parameters!$D$18</x:f>
        <x:v>91.725</x:v>
      </x:c>
      <x:c r="Q18" s="11">
        <x:f>IF(AND(F18&gt;Parameters!$B$21,D18&gt;Parameters!$B$22,E18&gt;Parameters!$B$23),Parameters!$B$24,1)</x:f>
        <x:v>1.15</x:v>
      </x:c>
      <x:c r="R18" s="13">
        <x:f>P18*Q18</x:f>
        <x:v>105.48374999999999</x:v>
      </x:c>
      <x:c r="S18" s="12">
        <x:f>IF(R18&lt;35,1,IF(R18&lt;55,2,IF(R18&lt;75,3,4)))</x:f>
        <x:v>4</x:v>
      </x:c>
      <x:c r="T18" t="str">
        <x:f>CHOOSE(S18,"Low","Medium","High","Critical")</x:f>
        <x:v>Critical</x:v>
      </x:c>
    </x:row>
    <x:row r="19">
      <x:c r="A19" t="inlineStr">
        <x:is>
          <x:t xml:space="preserve">Privacy &amp; Data Protection</x:t>
        </x:is>
      </x:c>
      <x:c r="B19" s="10" t="n">
        <x:v>0.053</x:v>
      </x:c>
      <x:c r="C19" s="10" t="n">
        <x:v>0.029</x:v>
      </x:c>
      <x:c r="D19" s="10" t="n">
        <x:v>0.16</x:v>
      </x:c>
      <x:c r="E19" s="10" t="n">
        <x:v>0.08500000000000001</x:v>
      </x:c>
      <x:c r="F19" s="11" t="n">
        <x:v>1.37</x:v>
      </x:c>
      <x:c r="G19" s="10" t="n">
        <x:v>0.11</x:v>
      </x:c>
      <x:c r="H19" s="12" t="n">
        <x:v>70</x:v>
      </x:c>
      <x:c r="I19" s="13">
        <x:f>MIN(B19/Parameters!$B$3,1)*100</x:f>
        <x:v>52.99999999999999</x:v>
      </x:c>
      <x:c r="J19" s="13">
        <x:f>MIN(C19/Parameters!$B$4,1)*100</x:f>
        <x:v>48.33333333333334</x:v>
      </x:c>
      <x:c r="K19" s="13">
        <x:f>MIN(D19/Parameters!$B$5,1)*100</x:f>
        <x:v>53.333333333333336</x:v>
      </x:c>
      <x:c r="L19" s="13">
        <x:f>MIN(E19/Parameters!$B$6,1)*100</x:f>
        <x:v>42.5</x:v>
      </x:c>
      <x:c r="M19" s="13">
        <x:f>MIN(MAX((F19-1)/(Parameters!$B$7-1),0),1)*100</x:f>
        <x:v>37.000000000000014</x:v>
      </x:c>
      <x:c r="N19" s="13">
        <x:f>MIN(G19/Parameters!$B$8,1)*100</x:f>
        <x:v>36.66666666666667</x:v>
      </x:c>
      <x:c r="O19" s="13">
        <x:f>MIN(H19/Parameters!$B$9,1)*100</x:f>
        <x:v>70</x:v>
      </x:c>
      <x:c r="P19" s="13">
        <x:f>I19*Parameters!$D$12+J19*Parameters!$D$13+K19*Parameters!$D$14+L19*Parameters!$D$15+M19*Parameters!$D$16+N19*Parameters!$D$17+O19*Parameters!$D$18</x:f>
        <x:v>47.358333333333334</x:v>
      </x:c>
      <x:c r="Q19" s="11">
        <x:f>IF(AND(F19&gt;Parameters!$B$21,D19&gt;Parameters!$B$22,E19&gt;Parameters!$B$23),Parameters!$B$24,1)</x:f>
        <x:v>1</x:v>
      </x:c>
      <x:c r="R19" s="13">
        <x:f>P19*Q19</x:f>
        <x:v>47.358333333333334</x:v>
      </x:c>
      <x:c r="S19" s="12">
        <x:f>IF(R19&lt;35,1,IF(R19&lt;55,2,IF(R19&lt;75,3,4)))</x:f>
        <x:v>2</x:v>
      </x:c>
      <x:c r="T19" t="str">
        <x:f>CHOOSE(S19,"Low","Medium","High","Critical")</x:f>
        <x:v>Medium</x:v>
      </x:c>
    </x:row>
    <x:row r="20">
      <x:c r="A20" t="inlineStr">
        <x:is>
          <x:t xml:space="preserve">Third-Party Risk Management</x:t>
        </x:is>
      </x:c>
      <x:c r="B20" s="10" t="n">
        <x:v>0.07099999999999999</x:v>
      </x:c>
      <x:c r="C20" s="10" t="n">
        <x:v>0.036</x:v>
      </x:c>
      <x:c r="D20" s="10" t="n">
        <x:v>0.23</x:v>
      </x:c>
      <x:c r="E20" s="10" t="n">
        <x:v>0.132</x:v>
      </x:c>
      <x:c r="F20" s="11" t="n">
        <x:v>1.62</x:v>
      </x:c>
      <x:c r="G20" s="10" t="n">
        <x:v>0.19</x:v>
      </x:c>
      <x:c r="H20" s="12" t="n">
        <x:v>90</x:v>
      </x:c>
      <x:c r="I20" s="13">
        <x:f>MIN(B20/Parameters!$B$3,1)*100</x:f>
        <x:v>70.99999999999999</x:v>
      </x:c>
      <x:c r="J20" s="13">
        <x:f>MIN(C20/Parameters!$B$4,1)*100</x:f>
        <x:v>60</x:v>
      </x:c>
      <x:c r="K20" s="13">
        <x:f>MIN(D20/Parameters!$B$5,1)*100</x:f>
        <x:v>76.66666666666667</x:v>
      </x:c>
      <x:c r="L20" s="13">
        <x:f>MIN(E20/Parameters!$B$6,1)*100</x:f>
        <x:v>66</x:v>
      </x:c>
      <x:c r="M20" s="13">
        <x:f>MIN(MAX((F20-1)/(Parameters!$B$7-1),0),1)*100</x:f>
        <x:v>62.000000000000014</x:v>
      </x:c>
      <x:c r="N20" s="13">
        <x:f>MIN(G20/Parameters!$B$8,1)*100</x:f>
        <x:v>63.33333333333334</x:v>
      </x:c>
      <x:c r="O20" s="13">
        <x:f>MIN(H20/Parameters!$B$9,1)*100</x:f>
        <x:v>90</x:v>
      </x:c>
      <x:c r="P20" s="13">
        <x:f>I20*Parameters!$D$12+J20*Parameters!$D$13+K20*Parameters!$D$14+L20*Parameters!$D$15+M20*Parameters!$D$16+N20*Parameters!$D$17+O20*Parameters!$D$18</x:f>
        <x:v>67.73333333333333</x:v>
      </x:c>
      <x:c r="Q20" s="11">
        <x:f>IF(AND(F20&gt;Parameters!$B$21,D20&gt;Parameters!$B$22,E20&gt;Parameters!$B$23),Parameters!$B$24,1)</x:f>
        <x:v>1.15</x:v>
      </x:c>
      <x:c r="R20" s="13">
        <x:f>P20*Q20</x:f>
        <x:v>77.89333333333333</x:v>
      </x:c>
      <x:c r="S20" s="12">
        <x:f>IF(R20&lt;35,1,IF(R20&lt;55,2,IF(R20&lt;75,3,4)))</x:f>
        <x:v>4</x:v>
      </x:c>
      <x:c r="T20" t="str">
        <x:f>CHOOSE(S20,"Low","Medium","High","Critical")</x:f>
        <x:v>Critical</x:v>
      </x:c>
    </x:row>
    <x:row r="21">
      <x:c r="A21" t="inlineStr">
        <x:is>
          <x:t xml:space="preserve">Enterprise Risk Management (ERM)</x:t>
        </x:is>
      </x:c>
      <x:c r="B21" s="10" t="n">
        <x:v>0.026</x:v>
      </x:c>
      <x:c r="C21" s="10" t="n">
        <x:v>0.011</x:v>
      </x:c>
      <x:c r="D21" s="10" t="n">
        <x:v>0.08</x:v>
      </x:c>
      <x:c r="E21" s="10" t="n">
        <x:v>0.039</x:v>
      </x:c>
      <x:c r="F21" s="11" t="n">
        <x:v>1.12</x:v>
      </x:c>
      <x:c r="G21" s="10" t="n">
        <x:v>0.07000000000000001</x:v>
      </x:c>
      <x:c r="H21" s="12" t="n">
        <x:v>49</x:v>
      </x:c>
      <x:c r="I21" s="13">
        <x:f>MIN(B21/Parameters!$B$3,1)*100</x:f>
        <x:v>25.999999999999996</x:v>
      </x:c>
      <x:c r="J21" s="13">
        <x:f>MIN(C21/Parameters!$B$4,1)*100</x:f>
        <x:v>18.333333333333332</x:v>
      </x:c>
      <x:c r="K21" s="13">
        <x:f>MIN(D21/Parameters!$B$5,1)*100</x:f>
        <x:v>26.666666666666668</x:v>
      </x:c>
      <x:c r="L21" s="13">
        <x:f>MIN(E21/Parameters!$B$6,1)*100</x:f>
        <x:v>19.499999999999996</x:v>
      </x:c>
      <x:c r="M21" s="13">
        <x:f>MIN(MAX((F21-1)/(Parameters!$B$7-1),0),1)*100</x:f>
        <x:v>12.00000000000001</x:v>
      </x:c>
      <x:c r="N21" s="13">
        <x:f>MIN(G21/Parameters!$B$8,1)*100</x:f>
        <x:v>23.333333333333336</x:v>
      </x:c>
      <x:c r="O21" s="13">
        <x:f>MIN(H21/Parameters!$B$9,1)*100</x:f>
        <x:v>49</x:v>
      </x:c>
      <x:c r="P21" s="13">
        <x:f>I21*Parameters!$D$12+J21*Parameters!$D$13+K21*Parameters!$D$14+L21*Parameters!$D$15+M21*Parameters!$D$16+N21*Parameters!$D$17+O21*Parameters!$D$18</x:f>
        <x:v>22.374999999999996</x:v>
      </x:c>
      <x:c r="Q21" s="11">
        <x:f>IF(AND(F21&gt;Parameters!$B$21,D21&gt;Parameters!$B$22,E21&gt;Parameters!$B$23),Parameters!$B$24,1)</x:f>
        <x:v>1</x:v>
      </x:c>
      <x:c r="R21" s="13">
        <x:f>P21*Q21</x:f>
        <x:v>22.374999999999996</x:v>
      </x:c>
      <x:c r="S21" s="12">
        <x:f>IF(R21&lt;35,1,IF(R21&lt;55,2,IF(R21&lt;75,3,4)))</x:f>
        <x:v>1</x:v>
      </x:c>
      <x:c r="T21" t="str">
        <x:f>CHOOSE(S21,"Low","Medium","High","Critical")</x:f>
        <x:v>Low</x:v>
      </x:c>
    </x:row>
    <x:row r="22">
      <x:c r="A22" t="inlineStr">
        <x:is>
          <x:t xml:space="preserve">Corporate Governance</x:t>
        </x:is>
      </x:c>
      <x:c r="B22" s="10" t="n">
        <x:v>0.018</x:v>
      </x:c>
      <x:c r="C22" s="10" t="n">
        <x:v>0.007</x:v>
      </x:c>
      <x:c r="D22" s="10" t="n">
        <x:v>0.04</x:v>
      </x:c>
      <x:c r="E22" s="10" t="n">
        <x:v>0.021</x:v>
      </x:c>
      <x:c r="F22" s="11" t="n">
        <x:v>1.05</x:v>
      </x:c>
      <x:c r="G22" s="10" t="n">
        <x:v>0.05</x:v>
      </x:c>
      <x:c r="H22" s="12" t="n">
        <x:v>38</x:v>
      </x:c>
      <x:c r="I22" s="13">
        <x:f>MIN(B22/Parameters!$B$3,1)*100</x:f>
        <x:v>17.999999999999996</x:v>
      </x:c>
      <x:c r="J22" s="13">
        <x:f>MIN(C22/Parameters!$B$4,1)*100</x:f>
        <x:v>11.666666666666666</x:v>
      </x:c>
      <x:c r="K22" s="13">
        <x:f>MIN(D22/Parameters!$B$5,1)*100</x:f>
        <x:v>13.333333333333334</x:v>
      </x:c>
      <x:c r="L22" s="13">
        <x:f>MIN(E22/Parameters!$B$6,1)*100</x:f>
        <x:v>10.5</x:v>
      </x:c>
      <x:c r="M22" s="13">
        <x:f>MIN(MAX((F22-1)/(Parameters!$B$7-1),0),1)*100</x:f>
        <x:v>5.000000000000004</x:v>
      </x:c>
      <x:c r="N22" s="13">
        <x:f>MIN(G22/Parameters!$B$8,1)*100</x:f>
        <x:v>16.666666666666668</x:v>
      </x:c>
      <x:c r="O22" s="13">
        <x:f>MIN(H22/Parameters!$B$9,1)*100</x:f>
        <x:v>38</x:v>
      </x:c>
      <x:c r="P22" s="13">
        <x:f>I22*Parameters!$D$12+J22*Parameters!$D$13+K22*Parameters!$D$14+L22*Parameters!$D$15+M22*Parameters!$D$16+N22*Parameters!$D$17+O22*Parameters!$D$18</x:f>
        <x:v>13.825000000000001</x:v>
      </x:c>
      <x:c r="Q22" s="11">
        <x:f>IF(AND(F22&gt;Parameters!$B$21,D22&gt;Parameters!$B$22,E22&gt;Parameters!$B$23),Parameters!$B$24,1)</x:f>
        <x:v>1</x:v>
      </x:c>
      <x:c r="R22" s="13">
        <x:f>P22*Q22</x:f>
        <x:v>13.825000000000001</x:v>
      </x:c>
      <x:c r="S22" s="12">
        <x:f>IF(R22&lt;35,1,IF(R22&lt;55,2,IF(R22&lt;75,3,4)))</x:f>
        <x:v>1</x:v>
      </x:c>
      <x:c r="T22" t="str">
        <x:f>CHOOSE(S22,"Low","Medium","High","Critical")</x:f>
        <x:v>Low</x:v>
      </x:c>
    </x:row>
    <x:row r="23">
      <x:c r="A23" t="inlineStr">
        <x:is>
          <x:t xml:space="preserve">Strategic Planning &amp; Execution</x:t>
        </x:is>
      </x:c>
      <x:c r="B23" s="10" t="n">
        <x:v>0.032</x:v>
      </x:c>
      <x:c r="C23" s="10" t="n">
        <x:v>0.014</x:v>
      </x:c>
      <x:c r="D23" s="10" t="n">
        <x:v>0.09</x:v>
      </x:c>
      <x:c r="E23" s="10" t="n">
        <x:v>0.053</x:v>
      </x:c>
      <x:c r="F23" s="11" t="n">
        <x:v>1.28</x:v>
      </x:c>
      <x:c r="G23" s="10" t="n">
        <x:v>0.1</x:v>
      </x:c>
      <x:c r="H23" s="12" t="n">
        <x:v>61</x:v>
      </x:c>
      <x:c r="I23" s="13">
        <x:f>MIN(B23/Parameters!$B$3,1)*100</x:f>
        <x:v>32</x:v>
      </x:c>
      <x:c r="J23" s="13">
        <x:f>MIN(C23/Parameters!$B$4,1)*100</x:f>
        <x:v>23.333333333333332</x:v>
      </x:c>
      <x:c r="K23" s="13">
        <x:f>MIN(D23/Parameters!$B$5,1)*100</x:f>
        <x:v>30</x:v>
      </x:c>
      <x:c r="L23" s="13">
        <x:f>MIN(E23/Parameters!$B$6,1)*100</x:f>
        <x:v>26.499999999999996</x:v>
      </x:c>
      <x:c r="M23" s="13">
        <x:f>MIN(MAX((F23-1)/(Parameters!$B$7-1),0),1)*100</x:f>
        <x:v>28.000000000000004</x:v>
      </x:c>
      <x:c r="N23" s="13">
        <x:f>MIN(G23/Parameters!$B$8,1)*100</x:f>
        <x:v>33.333333333333336</x:v>
      </x:c>
      <x:c r="O23" s="13">
        <x:f>MIN(H23/Parameters!$B$9,1)*100</x:f>
        <x:v>61</x:v>
      </x:c>
      <x:c r="P23" s="13">
        <x:f>I23*Parameters!$D$12+J23*Parameters!$D$13+K23*Parameters!$D$14+L23*Parameters!$D$15+M23*Parameters!$D$16+N23*Parameters!$D$17+O23*Parameters!$D$18</x:f>
        <x:v>30.124999999999996</x:v>
      </x:c>
      <x:c r="Q23" s="11">
        <x:f>IF(AND(F23&gt;Parameters!$B$21,D23&gt;Parameters!$B$22,E23&gt;Parameters!$B$23),Parameters!$B$24,1)</x:f>
        <x:v>1</x:v>
      </x:c>
      <x:c r="R23" s="13">
        <x:f>P23*Q23</x:f>
        <x:v>30.124999999999996</x:v>
      </x:c>
      <x:c r="S23" s="12">
        <x:f>IF(R23&lt;35,1,IF(R23&lt;55,2,IF(R23&lt;75,3,4)))</x:f>
        <x:v>1</x:v>
      </x:c>
      <x:c r="T23" t="str">
        <x:f>CHOOSE(S23,"Low","Medium","High","Critical")</x:f>
        <x:v>Low</x:v>
      </x:c>
    </x:row>
    <x:row r="24">
      <x:c r="A24" t="inlineStr">
        <x:is>
          <x:t xml:space="preserve">ESG / Sustainability Reporting</x:t>
        </x:is>
      </x:c>
      <x:c r="B24" s="10" t="n">
        <x:v>0.046</x:v>
      </x:c>
      <x:c r="C24" s="10" t="n">
        <x:v>0.025</x:v>
      </x:c>
      <x:c r="D24" s="10" t="n">
        <x:v>0.13</x:v>
      </x:c>
      <x:c r="E24" s="10" t="n">
        <x:v>0.082</x:v>
      </x:c>
      <x:c r="F24" s="11" t="n">
        <x:v>1.39</x:v>
      </x:c>
      <x:c r="G24" s="10" t="n">
        <x:v>0.12</x:v>
      </x:c>
      <x:c r="H24" s="12" t="n">
        <x:v>67</x:v>
      </x:c>
      <x:c r="I24" s="13">
        <x:f>MIN(B24/Parameters!$B$3,1)*100</x:f>
        <x:v>46</x:v>
      </x:c>
      <x:c r="J24" s="13">
        <x:f>MIN(C24/Parameters!$B$4,1)*100</x:f>
        <x:v>41.66666666666667</x:v>
      </x:c>
      <x:c r="K24" s="13">
        <x:f>MIN(D24/Parameters!$B$5,1)*100</x:f>
        <x:v>43.333333333333336</x:v>
      </x:c>
      <x:c r="L24" s="13">
        <x:f>MIN(E24/Parameters!$B$6,1)*100</x:f>
        <x:v>41</x:v>
      </x:c>
      <x:c r="M24" s="13">
        <x:f>MIN(MAX((F24-1)/(Parameters!$B$7-1),0),1)*100</x:f>
        <x:v>38.99999999999999</x:v>
      </x:c>
      <x:c r="N24" s="13">
        <x:f>MIN(G24/Parameters!$B$8,1)*100</x:f>
        <x:v>40</x:v>
      </x:c>
      <x:c r="O24" s="13">
        <x:f>MIN(H24/Parameters!$B$9,1)*100</x:f>
        <x:v>67</x:v>
      </x:c>
      <x:c r="P24" s="13">
        <x:f>I24*Parameters!$D$12+J24*Parameters!$D$13+K24*Parameters!$D$14+L24*Parameters!$D$15+M24*Parameters!$D$16+N24*Parameters!$D$17+O24*Parameters!$D$18</x:f>
        <x:v>43.38333333333333</x:v>
      </x:c>
      <x:c r="Q24" s="11">
        <x:f>IF(AND(F24&gt;Parameters!$B$21,D24&gt;Parameters!$B$22,E24&gt;Parameters!$B$23),Parameters!$B$24,1)</x:f>
        <x:v>1</x:v>
      </x:c>
      <x:c r="R24" s="13">
        <x:f>P24*Q24</x:f>
        <x:v>43.38333333333333</x:v>
      </x:c>
      <x:c r="S24" s="12">
        <x:f>IF(R24&lt;35,1,IF(R24&lt;55,2,IF(R24&lt;75,3,4)))</x:f>
        <x:v>2</x:v>
      </x:c>
      <x:c r="T24" t="str">
        <x:f>CHOOSE(S24,"Low","Medium","High","Critical")</x:f>
        <x:v>Medium</x:v>
      </x:c>
    </x:row>
    <x:row r="25">
      <x:c r="A25" t="inlineStr">
        <x:is>
          <x:t xml:space="preserve">Financial Close &amp; Reporting</x:t>
        </x:is>
      </x:c>
      <x:c r="B25" s="10" t="n">
        <x:v>0.041</x:v>
      </x:c>
      <x:c r="C25" s="10" t="n">
        <x:v>0.02</x:v>
      </x:c>
      <x:c r="D25" s="10" t="n">
        <x:v>0.12</x:v>
      </x:c>
      <x:c r="E25" s="10" t="n">
        <x:v>0.07199999999999999</x:v>
      </x:c>
      <x:c r="F25" s="11" t="n">
        <x:v>1.36</x:v>
      </x:c>
      <x:c r="G25" s="10" t="n">
        <x:v>0.14</x:v>
      </x:c>
      <x:c r="H25" s="12" t="n">
        <x:v>73</x:v>
      </x:c>
      <x:c r="I25" s="13">
        <x:f>MIN(B25/Parameters!$B$3,1)*100</x:f>
        <x:v>41</x:v>
      </x:c>
      <x:c r="J25" s="13">
        <x:f>MIN(C25/Parameters!$B$4,1)*100</x:f>
        <x:v>33.333333333333336</x:v>
      </x:c>
      <x:c r="K25" s="13">
        <x:f>MIN(D25/Parameters!$B$5,1)*100</x:f>
        <x:v>40</x:v>
      </x:c>
      <x:c r="L25" s="13">
        <x:f>MIN(E25/Parameters!$B$6,1)*100</x:f>
        <x:v>35.99999999999999</x:v>
      </x:c>
      <x:c r="M25" s="13">
        <x:f>MIN(MAX((F25-1)/(Parameters!$B$7-1),0),1)*100</x:f>
        <x:v>36.00000000000001</x:v>
      </x:c>
      <x:c r="N25" s="13">
        <x:f>MIN(G25/Parameters!$B$8,1)*100</x:f>
        <x:v>46.66666666666667</x:v>
      </x:c>
      <x:c r="O25" s="13">
        <x:f>MIN(H25/Parameters!$B$9,1)*100</x:f>
        <x:v>73</x:v>
      </x:c>
      <x:c r="P25" s="13">
        <x:f>I25*Parameters!$D$12+J25*Parameters!$D$13+K25*Parameters!$D$14+L25*Parameters!$D$15+M25*Parameters!$D$16+N25*Parameters!$D$17+O25*Parameters!$D$18</x:f>
        <x:v>39.983333333333334</x:v>
      </x:c>
      <x:c r="Q25" s="11">
        <x:f>IF(AND(F25&gt;Parameters!$B$21,D25&gt;Parameters!$B$22,E25&gt;Parameters!$B$23),Parameters!$B$24,1)</x:f>
        <x:v>1</x:v>
      </x:c>
      <x:c r="R25" s="13">
        <x:f>P25*Q25</x:f>
        <x:v>39.983333333333334</x:v>
      </x:c>
      <x:c r="S25" s="12">
        <x:f>IF(R25&lt;35,1,IF(R25&lt;55,2,IF(R25&lt;75,3,4)))</x:f>
        <x:v>2</x:v>
      </x:c>
      <x:c r="T25" t="str">
        <x:f>CHOOSE(S25,"Low","Medium","High","Critical")</x:f>
        <x:v>Medium</x:v>
      </x:c>
    </x:row>
    <x:row r="26">
      <x:c r="A26" t="inlineStr">
        <x:is>
          <x:t xml:space="preserve">Revenue Recognition / Billing</x:t>
        </x:is>
      </x:c>
      <x:c r="B26" s="10" t="n">
        <x:v>0.058</x:v>
      </x:c>
      <x:c r="C26" s="10" t="n">
        <x:v>0.035</x:v>
      </x:c>
      <x:c r="D26" s="10" t="n">
        <x:v>0.17</x:v>
      </x:c>
      <x:c r="E26" s="10" t="n">
        <x:v>0.109</x:v>
      </x:c>
      <x:c r="F26" s="11" t="n">
        <x:v>1.64</x:v>
      </x:c>
      <x:c r="G26" s="10" t="n">
        <x:v>0.16</x:v>
      </x:c>
      <x:c r="H26" s="12" t="n">
        <x:v>81</x:v>
      </x:c>
      <x:c r="I26" s="13">
        <x:f>MIN(B26/Parameters!$B$3,1)*100</x:f>
        <x:v>57.99999999999999</x:v>
      </x:c>
      <x:c r="J26" s="13">
        <x:f>MIN(C26/Parameters!$B$4,1)*100</x:f>
        <x:v>58.333333333333336</x:v>
      </x:c>
      <x:c r="K26" s="13">
        <x:f>MIN(D26/Parameters!$B$5,1)*100</x:f>
        <x:v>56.66666666666668</x:v>
      </x:c>
      <x:c r="L26" s="13">
        <x:f>MIN(E26/Parameters!$B$6,1)*100</x:f>
        <x:v>54.49999999999999</x:v>
      </x:c>
      <x:c r="M26" s="13">
        <x:f>MIN(MAX((F26-1)/(Parameters!$B$7-1),0),1)*100</x:f>
        <x:v>63.99999999999999</x:v>
      </x:c>
      <x:c r="N26" s="13">
        <x:f>MIN(G26/Parameters!$B$8,1)*100</x:f>
        <x:v>53.333333333333336</x:v>
      </x:c>
      <x:c r="O26" s="13">
        <x:f>MIN(H26/Parameters!$B$9,1)*100</x:f>
        <x:v>81</x:v>
      </x:c>
      <x:c r="P26" s="13">
        <x:f>I26*Parameters!$D$12+J26*Parameters!$D$13+K26*Parameters!$D$14+L26*Parameters!$D$15+M26*Parameters!$D$16+N26*Parameters!$D$17+O26*Parameters!$D$18</x:f>
        <x:v>58.92499999999999</x:v>
      </x:c>
      <x:c r="Q26" s="11">
        <x:f>IF(AND(F26&gt;Parameters!$B$21,D26&gt;Parameters!$B$22,E26&gt;Parameters!$B$23),Parameters!$B$24,1)</x:f>
        <x:v>1</x:v>
      </x:c>
      <x:c r="R26" s="13">
        <x:f>P26*Q26</x:f>
        <x:v>58.92499999999999</x:v>
      </x:c>
      <x:c r="S26" s="12">
        <x:f>IF(R26&lt;35,1,IF(R26&lt;55,2,IF(R26&lt;75,3,4)))</x:f>
        <x:v>3</x:v>
      </x:c>
      <x:c r="T26" t="str">
        <x:f>CHOOSE(S26,"Low","Medium","High","Critical")</x:f>
        <x:v>High</x:v>
      </x:c>
    </x:row>
    <x:row r="27">
      <x:c r="A27" t="inlineStr">
        <x:is>
          <x:t xml:space="preserve">Talent Management &amp; HR Compliance</x:t>
        </x:is>
      </x:c>
      <x:c r="B27" s="10" t="n">
        <x:v>0.05</x:v>
      </x:c>
      <x:c r="C27" s="10" t="n">
        <x:v>0.027</x:v>
      </x:c>
      <x:c r="D27" s="10" t="n">
        <x:v>0.15</x:v>
      </x:c>
      <x:c r="E27" s="10" t="n">
        <x:v>0.091</x:v>
      </x:c>
      <x:c r="F27" s="11" t="n">
        <x:v>1.46</x:v>
      </x:c>
      <x:c r="G27" s="10" t="n">
        <x:v>0.24</x:v>
      </x:c>
      <x:c r="H27" s="12" t="n">
        <x:v>83</x:v>
      </x:c>
      <x:c r="I27" s="13">
        <x:f>MIN(B27/Parameters!$B$3,1)*100</x:f>
        <x:v>50</x:v>
      </x:c>
      <x:c r="J27" s="13">
        <x:f>MIN(C27/Parameters!$B$4,1)*100</x:f>
        <x:v>45</x:v>
      </x:c>
      <x:c r="K27" s="13">
        <x:f>MIN(D27/Parameters!$B$5,1)*100</x:f>
        <x:v>50</x:v>
      </x:c>
      <x:c r="L27" s="13">
        <x:f>MIN(E27/Parameters!$B$6,1)*100</x:f>
        <x:v>45.49999999999999</x:v>
      </x:c>
      <x:c r="M27" s="13">
        <x:f>MIN(MAX((F27-1)/(Parameters!$B$7-1),0),1)*100</x:f>
        <x:v>46</x:v>
      </x:c>
      <x:c r="N27" s="13">
        <x:f>MIN(G27/Parameters!$B$8,1)*100</x:f>
        <x:v>80</x:v>
      </x:c>
      <x:c r="O27" s="13">
        <x:f>MIN(H27/Parameters!$B$9,1)*100</x:f>
        <x:v>83</x:v>
      </x:c>
      <x:c r="P27" s="13">
        <x:f>I27*Parameters!$D$12+J27*Parameters!$D$13+K27*Parameters!$D$14+L27*Parameters!$D$15+M27*Parameters!$D$16+N27*Parameters!$D$17+O27*Parameters!$D$18</x:f>
        <x:v>52.37499999999999</x:v>
      </x:c>
      <x:c r="Q27" s="11">
        <x:f>IF(AND(F27&gt;Parameters!$B$21,D27&gt;Parameters!$B$22,E27&gt;Parameters!$B$23),Parameters!$B$24,1)</x:f>
        <x:v>1</x:v>
      </x:c>
      <x:c r="R27" s="13">
        <x:f>P27*Q27</x:f>
        <x:v>52.37499999999999</x:v>
      </x:c>
      <x:c r="S27" s="12">
        <x:f>IF(R27&lt;35,1,IF(R27&lt;55,2,IF(R27&lt;75,3,4)))</x:f>
        <x:v>2</x:v>
      </x:c>
      <x:c r="T27" t="str">
        <x:f>CHOOSE(S27,"Low","Medium","High","Critical")</x:f>
        <x:v>Medium</x:v>
      </x:c>
    </x:row>
    <x:row r="28">
      <x:c r="A28" t="inlineStr">
        <x:is>
          <x:t xml:space="preserve">Contract Lifecycle Management</x:t>
        </x:is>
      </x:c>
      <x:c r="B28" s="10" t="n">
        <x:v>0.051</x:v>
      </x:c>
      <x:c r="C28" s="10" t="n">
        <x:v>0.026</x:v>
      </x:c>
      <x:c r="D28" s="10" t="n">
        <x:v>0.15</x:v>
      </x:c>
      <x:c r="E28" s="10" t="n">
        <x:v>0.094</x:v>
      </x:c>
      <x:c r="F28" s="11" t="n">
        <x:v>1.41</x:v>
      </x:c>
      <x:c r="G28" s="10" t="n">
        <x:v>0.14</x:v>
      </x:c>
      <x:c r="H28" s="12" t="n">
        <x:v>77</x:v>
      </x:c>
      <x:c r="I28" s="13">
        <x:f>MIN(B28/Parameters!$B$3,1)*100</x:f>
        <x:v>50.99999999999999</x:v>
      </x:c>
      <x:c r="J28" s="13">
        <x:f>MIN(C28/Parameters!$B$4,1)*100</x:f>
        <x:v>43.333333333333336</x:v>
      </x:c>
      <x:c r="K28" s="13">
        <x:f>MIN(D28/Parameters!$B$5,1)*100</x:f>
        <x:v>50</x:v>
      </x:c>
      <x:c r="L28" s="13">
        <x:f>MIN(E28/Parameters!$B$6,1)*100</x:f>
        <x:v>47</x:v>
      </x:c>
      <x:c r="M28" s="13">
        <x:f>MIN(MAX((F28-1)/(Parameters!$B$7-1),0),1)*100</x:f>
        <x:v>40.99999999999999</x:v>
      </x:c>
      <x:c r="N28" s="13">
        <x:f>MIN(G28/Parameters!$B$8,1)*100</x:f>
        <x:v>46.66666666666667</x:v>
      </x:c>
      <x:c r="O28" s="13">
        <x:f>MIN(H28/Parameters!$B$9,1)*100</x:f>
        <x:v>77</x:v>
      </x:c>
      <x:c r="P28" s="13">
        <x:f>I28*Parameters!$D$12+J28*Parameters!$D$13+K28*Parameters!$D$14+L28*Parameters!$D$15+M28*Parameters!$D$16+N28*Parameters!$D$17+O28*Parameters!$D$18</x:f>
        <x:v>48.08333333333333</x:v>
      </x:c>
      <x:c r="Q28" s="11">
        <x:f>IF(AND(F28&gt;Parameters!$B$21,D28&gt;Parameters!$B$22,E28&gt;Parameters!$B$23),Parameters!$B$24,1)</x:f>
        <x:v>1</x:v>
      </x:c>
      <x:c r="R28" s="13">
        <x:f>P28*Q28</x:f>
        <x:v>48.08333333333333</x:v>
      </x:c>
      <x:c r="S28" s="12">
        <x:f>IF(R28&lt;35,1,IF(R28&lt;55,2,IF(R28&lt;75,3,4)))</x:f>
        <x:v>2</x:v>
      </x:c>
      <x:c r="T28" t="str">
        <x:f>CHOOSE(S28,"Low","Medium","High","Critical")</x:f>
        <x:v>Medium</x:v>
      </x:c>
    </x:row>
    <x:row r="29">
      <x:c r="A29" t="inlineStr">
        <x:is>
          <x:t xml:space="preserve">Business Continuity &amp; Disaster Recovery</x:t>
        </x:is>
      </x:c>
      <x:c r="B29" s="10" t="n">
        <x:v>0.037</x:v>
      </x:c>
      <x:c r="C29" s="10" t="n">
        <x:v>0.019</x:v>
      </x:c>
      <x:c r="D29" s="10" t="n">
        <x:v>0.11</x:v>
      </x:c>
      <x:c r="E29" s="10" t="n">
        <x:v>0.06</x:v>
      </x:c>
      <x:c r="F29" s="11" t="n">
        <x:v>1.34</x:v>
      </x:c>
      <x:c r="G29" s="10" t="n">
        <x:v>0.09</x:v>
      </x:c>
      <x:c r="H29" s="12" t="n">
        <x:v>65</x:v>
      </x:c>
      <x:c r="I29" s="13">
        <x:f>MIN(B29/Parameters!$B$3,1)*100</x:f>
        <x:v>36.99999999999999</x:v>
      </x:c>
      <x:c r="J29" s="13">
        <x:f>MIN(C29/Parameters!$B$4,1)*100</x:f>
        <x:v>31.666666666666664</x:v>
      </x:c>
      <x:c r="K29" s="13">
        <x:f>MIN(D29/Parameters!$B$5,1)*100</x:f>
        <x:v>36.66666666666667</x:v>
      </x:c>
      <x:c r="L29" s="13">
        <x:f>MIN(E29/Parameters!$B$6,1)*100</x:f>
        <x:v>30</x:v>
      </x:c>
      <x:c r="M29" s="13">
        <x:f>MIN(MAX((F29-1)/(Parameters!$B$7-1),0),1)*100</x:f>
        <x:v>34.00000000000001</x:v>
      </x:c>
      <x:c r="N29" s="13">
        <x:f>MIN(G29/Parameters!$B$8,1)*100</x:f>
        <x:v>30</x:v>
      </x:c>
      <x:c r="O29" s="13">
        <x:f>MIN(H29/Parameters!$B$9,1)*100</x:f>
        <x:v>65</x:v>
      </x:c>
      <x:c r="P29" s="13">
        <x:f>I29*Parameters!$D$12+J29*Parameters!$D$13+K29*Parameters!$D$14+L29*Parameters!$D$15+M29*Parameters!$D$16+N29*Parameters!$D$17+O29*Parameters!$D$18</x:f>
        <x:v>35.08333333333333</x:v>
      </x:c>
      <x:c r="Q29" s="11">
        <x:f>IF(AND(F29&gt;Parameters!$B$21,D29&gt;Parameters!$B$22,E29&gt;Parameters!$B$23),Parameters!$B$24,1)</x:f>
        <x:v>1</x:v>
      </x:c>
      <x:c r="R29" s="13">
        <x:f>P29*Q29</x:f>
        <x:v>35.08333333333333</x:v>
      </x:c>
      <x:c r="S29" s="12">
        <x:f>IF(R29&lt;35,1,IF(R29&lt;55,2,IF(R29&lt;75,3,4)))</x:f>
        <x:v>2</x:v>
      </x:c>
      <x:c r="T29" t="str">
        <x:f>CHOOSE(S29,"Low","Medium","High","Critical")</x:f>
        <x:v>Medium</x:v>
      </x:c>
    </x:row>
  </x:sheetData>
  <x:conditionalFormatting sqref="R2:R29">
    <x:cfRule type="colorScale" priority="1">
      <x:colorScale>
        <x:cfvo type="num" val="0"/>
        <x:cfvo type="num" val="50"/>
        <x:cfvo type="num" val="100"/>
        <x:color rgb="0063BE7B"/>
        <x:color rgb="00FFEB84"/>
        <x:color rgb="00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8c9139c560544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4" t="inlineStr">
        <x:is>
          <x:t xml:space="preserve">Purpose</x:t>
        </x:is>
      </x:c>
    </x:row>
    <x:row r="2">
      <x:c r="A2" t="inlineStr">
        <x:is>
          <x:t xml:space="preserve">This workbook contains synthetic operational/process metrics for auditable units and a ready-to-use predictive scoring model.</x:t>
        </x:is>
      </x:c>
    </x:row>
    <x:row r="4">
      <x:c r="A4" s="15" t="inlineStr">
        <x:is>
          <x:t xml:space="preserve">How it works</x:t>
        </x:is>
      </x:c>
    </x:row>
    <x:row r="5">
      <x:c r="A5" t="inlineStr">
        <x:is>
          <x:t xml:space="preserve">1) Enter or refresh the operational metrics in Operational_Metrics (columns B–H).</x:t>
        </x:is>
      </x:c>
    </x:row>
    <x:row r="6">
      <x:c r="A6" t="inlineStr">
        <x:is>
          <x:t xml:space="preserve">2) The model normalizes each metric to a 0–100 score using thresholds on the Parameters sheet (columns I–O).</x:t>
        </x:is>
      </x:c>
    </x:row>
    <x:row r="7">
      <x:c r="A7" t="inlineStr">
        <x:is>
          <x:t xml:space="preserve">3) Operational Stress Score (column P) is calculated via weighted SUMPRODUCT of the normalized scores.</x:t>
        </x:is>
      </x:c>
    </x:row>
    <x:row r="8">
      <x:c r="A8" t="inlineStr">
        <x:is>
          <x:t xml:space="preserve">4) Escalation Multiplier (column Q) applies when Volume, Backlog, and Overrides exceed trigger thresholds.</x:t>
        </x:is>
      </x:c>
    </x:row>
    <x:row r="9">
      <x:c r="A9" t="inlineStr">
        <x:is>
          <x:t xml:space="preserve">5) Predictive Score (column R) = Stress Score × Escalation Multiplier; Risk Band (column S) is derived from Predictive Score.</x:t>
        </x:is>
      </x:c>
    </x:row>
    <x:row r="11">
      <x:c r="A11" s="15" t="inlineStr">
        <x:is>
          <x:t xml:space="preserve">Notes</x:t>
        </x:is>
      </x:c>
    </x:row>
    <x:row r="12">
      <x:c r="A12" t="inlineStr">
        <x:is>
          <x:t xml:space="preserve">- All data in Operational_Metrics is synthetic and intended for model testing, demos, and prototyping.</x:t>
        </x:is>
      </x:c>
    </x:row>
    <x:row r="13">
      <x:c r="A13" t="inlineStr">
        <x:is>
          <x:t xml:space="preserve">- Adjust thresholds and weights in Parameters to fit your organization’s risk appetite and data distributions.</x:t>
        </x:is>
      </x:c>
    </x:row>
  </x:sheetData>
  <x:pageMargins left="0.7" right="0.7" top="0.75" bottom="0.75" header="0.3" footer="0.3"/>
</x:worksheet>
</file>